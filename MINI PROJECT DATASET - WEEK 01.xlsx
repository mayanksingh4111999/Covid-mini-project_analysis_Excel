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9a3b336ef5cee1/Desktop/exl_first_mini/"/>
    </mc:Choice>
  </mc:AlternateContent>
  <xr:revisionPtr revIDLastSave="316" documentId="13_ncr:1_{0246A79C-D183-4936-8D89-E61744874732}" xr6:coauthVersionLast="47" xr6:coauthVersionMax="47" xr10:uidLastSave="{45CAA30E-9A8B-4C6C-9586-713CD3A164EA}"/>
  <bookViews>
    <workbookView xWindow="-120" yWindow="-120" windowWidth="29040" windowHeight="15720" activeTab="3" xr2:uid="{FF6CB653-6220-46B0-810F-8784E2C55212}"/>
  </bookViews>
  <sheets>
    <sheet name="Questions" sheetId="5" r:id="rId1"/>
    <sheet name="data" sheetId="1" r:id="rId2"/>
    <sheet name="Pivot_table" sheetId="3" r:id="rId3"/>
    <sheet name="Dashboar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</calcChain>
</file>

<file path=xl/sharedStrings.xml><?xml version="1.0" encoding="utf-8"?>
<sst xmlns="http://schemas.openxmlformats.org/spreadsheetml/2006/main" count="451" uniqueCount="241">
  <si>
    <t>Country/Region</t>
  </si>
  <si>
    <t>Confirmed</t>
  </si>
  <si>
    <t>Deaths</t>
  </si>
  <si>
    <t>Recovered</t>
  </si>
  <si>
    <t>Active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</si>
  <si>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</si>
  <si>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</si>
  <si>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</si>
  <si>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</si>
  <si>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</si>
  <si>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</si>
  <si>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</si>
  <si>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</si>
  <si>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</si>
  <si>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</si>
  <si>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</si>
  <si>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</si>
  <si>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</si>
  <si>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</si>
  <si>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</si>
  <si>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</si>
  <si>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</si>
  <si>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</si>
  <si>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</si>
  <si>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</si>
  <si>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</si>
  <si>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</si>
  <si>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</si>
  <si>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</si>
  <si>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</si>
  <si>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</si>
  <si>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</si>
  <si>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</si>
  <si>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</si>
  <si>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</si>
  <si>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</si>
  <si>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</si>
  <si>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</si>
  <si>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</si>
  <si>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</si>
  <si>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</si>
  <si>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</si>
  <si>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</si>
  <si>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</si>
  <si>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</si>
  <si>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</si>
  <si>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</si>
  <si>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</si>
  <si>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</si>
  <si>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</si>
  <si>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</si>
  <si>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</si>
  <si>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</si>
  <si>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</si>
  <si>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</si>
  <si>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</si>
  <si>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</si>
  <si>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</si>
  <si>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</si>
  <si>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</si>
  <si>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</si>
  <si>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</si>
  <si>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</si>
  <si>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</si>
  <si>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</si>
  <si>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</si>
  <si>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</si>
  <si>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</si>
  <si>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</si>
  <si>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</si>
  <si>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</si>
  <si>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</si>
  <si>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</si>
  <si>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</si>
  <si>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</si>
  <si>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</si>
  <si>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</si>
  <si>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</si>
  <si>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</si>
  <si>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</si>
  <si>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</si>
  <si>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</si>
  <si>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</si>
  <si>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</si>
  <si>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</si>
  <si>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</si>
  <si>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</si>
  <si>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</si>
  <si>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</si>
  <si>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</si>
  <si>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</si>
  <si>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</si>
  <si>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</si>
  <si>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</si>
  <si>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</si>
  <si>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</si>
  <si>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</si>
  <si>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</si>
  <si>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</si>
  <si>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</si>
  <si>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</si>
  <si>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</si>
  <si>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</si>
  <si>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</si>
  <si>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</si>
  <si>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</si>
  <si>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</si>
  <si>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</si>
  <si>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</si>
  <si>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</si>
  <si>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</si>
  <si>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</si>
  <si>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</si>
  <si>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</si>
  <si>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</si>
  <si>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</si>
  <si>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</si>
  <si>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</si>
  <si>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</si>
  <si>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</si>
  <si>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</si>
  <si>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</si>
  <si>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</si>
  <si>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</si>
  <si>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</si>
  <si>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</si>
  <si>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</si>
  <si>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</si>
  <si>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</si>
  <si>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</si>
  <si>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</si>
  <si>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</si>
  <si>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</si>
  <si>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</si>
  <si>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</si>
  <si>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</si>
  <si>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</si>
  <si>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</si>
  <si>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</si>
  <si>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</si>
  <si>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</si>
  <si>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</si>
  <si>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</si>
  <si>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</si>
  <si>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</si>
  <si>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</si>
  <si>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</si>
  <si>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</si>
  <si>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</si>
  <si>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</si>
  <si>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</si>
  <si>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</si>
  <si>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</si>
  <si>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</si>
  <si>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</si>
  <si>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</si>
  <si>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</si>
  <si>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</si>
  <si>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</si>
  <si>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</si>
  <si>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</si>
  <si>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</si>
  <si>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</si>
  <si>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</si>
  <si>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</si>
  <si>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</si>
  <si>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</si>
  <si>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</si>
  <si>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</si>
  <si>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</si>
  <si>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</si>
  <si>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</si>
  <si>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</si>
  <si>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</si>
  <si>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</si>
  <si>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</si>
  <si>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</si>
  <si>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</si>
  <si>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</si>
  <si>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</si>
  <si>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</si>
  <si>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</si>
  <si>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</si>
  <si>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</si>
  <si>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</si>
  <si>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</si>
  <si>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</si>
  <si>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</si>
  <si>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</si>
  <si>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</si>
  <si>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Taiwan</t>
  </si>
  <si>
    <t>Myanmar</t>
  </si>
  <si>
    <t>Population</t>
  </si>
  <si>
    <t>Continent</t>
  </si>
  <si>
    <t>Date of First Case</t>
  </si>
  <si>
    <t>Asia</t>
  </si>
  <si>
    <t>Europe</t>
  </si>
  <si>
    <t>Africa</t>
  </si>
  <si>
    <t>North America</t>
  </si>
  <si>
    <t>South America</t>
  </si>
  <si>
    <t>Australia/Oceania</t>
  </si>
  <si>
    <t>1269</t>
  </si>
  <si>
    <t>25198</t>
  </si>
  <si>
    <t>9796</t>
  </si>
  <si>
    <t>39009447</t>
  </si>
  <si>
    <t> 17224679</t>
  </si>
  <si>
    <t>Death_Rate</t>
  </si>
  <si>
    <t>Recovery_rate</t>
  </si>
  <si>
    <t>Infection_rate</t>
  </si>
  <si>
    <t>Risk_categorisation</t>
  </si>
  <si>
    <t>Row Labels</t>
  </si>
  <si>
    <t>Grand Total</t>
  </si>
  <si>
    <t>Sum of Confirmed</t>
  </si>
  <si>
    <t>Confirmed_cases</t>
  </si>
  <si>
    <t>Recovered_cases</t>
  </si>
  <si>
    <t>Jan</t>
  </si>
  <si>
    <t>Feb</t>
  </si>
  <si>
    <t>Mar</t>
  </si>
  <si>
    <t>Apr</t>
  </si>
  <si>
    <t>May</t>
  </si>
  <si>
    <t>Nov</t>
  </si>
  <si>
    <t>Dec</t>
  </si>
  <si>
    <t>Confirm cases</t>
  </si>
  <si>
    <t xml:space="preserve">Death_Rate </t>
  </si>
  <si>
    <t>Covid_Data_analysis</t>
  </si>
  <si>
    <t>Calculate Death Rate (%) = Deaths / Confirmed Cases</t>
  </si>
  <si>
    <t>Calculate Recovery Rate (%) = Recovered / Confirmed Cases</t>
  </si>
  <si>
    <t>Calculate Infection Rate (%) = Confirmed / Population</t>
  </si>
  <si>
    <t>Use IF and IFS to categorize countries as:</t>
  </si>
  <si>
    <t>○ High Risk (Death Rate &gt; 5%) ○ Moderate Risk (2%–5%) ○ Low Risk (&lt; 2%)</t>
  </si>
  <si>
    <t>Highlight countries with Death Rate &gt; 5% in red</t>
  </si>
  <si>
    <t>Use a 3-color color scale for Recovery Rate</t>
  </si>
  <si>
    <t xml:space="preserve">Apply data bars to Infection Rate column </t>
  </si>
  <si>
    <t xml:space="preserve">Use icon sets (up, sideways, down arrows) to show Death Rate categories </t>
  </si>
  <si>
    <t xml:space="preserve">Questions </t>
  </si>
  <si>
    <t xml:space="preserve">Create a Column Chart showing Confirmed vs Recovered cases for top 10 countries </t>
  </si>
  <si>
    <t xml:space="preserve">Add a Line Chart showing monthly case trends if time-based data is available 
(Time-series trends require monthly/daily case data. Use this chart only if such data is available) </t>
  </si>
  <si>
    <t xml:space="preserve">Create a Pie Chart showing continent-wise case distribution </t>
  </si>
  <si>
    <t xml:space="preserve">Create a Combo Chart: Line for Death Rate, Column for Confirmed Cases </t>
  </si>
  <si>
    <t>Chart creation questions</t>
  </si>
  <si>
    <t>Conditional_formatting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</si>
</sst>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sz val="18"/>
      <color theme="1"/>
      <name val="Algerian"/>
      <family val="5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5" fontId="0" fillId="0" borderId="0" xfId="0" applyNumberFormat="1"/>
    <xf numFmtId="1" fontId="0" fillId="0" borderId="0" xfId="0" applyNumberFormat="1" applyAlignment="1">
      <alignment horizontal="right" indent="1"/>
    </xf>
    <xf numFmtId="14" fontId="0" fillId="0" borderId="0" xfId="0" applyNumberFormat="1" applyAlignment="1">
      <alignment horizontal="right" indent="1"/>
    </xf>
    <xf numFmtId="1" fontId="0" fillId="3" borderId="2" xfId="0" applyNumberFormat="1" applyFill="1" applyBorder="1" applyAlignment="1">
      <alignment horizontal="right" vertical="center"/>
    </xf>
    <xf numFmtId="1" fontId="0" fillId="0" borderId="2" xfId="0" applyNumberFormat="1" applyBorder="1" applyAlignment="1">
      <alignment horizontal="right" vertical="center"/>
    </xf>
    <xf numFmtId="49" fontId="0" fillId="3" borderId="2" xfId="0" applyNumberFormat="1" applyFill="1" applyBorder="1" applyAlignment="1">
      <alignment horizontal="left" vertical="center" indent="1"/>
    </xf>
    <xf numFmtId="49" fontId="0" fillId="0" borderId="2" xfId="0" applyNumberFormat="1" applyBorder="1" applyAlignment="1">
      <alignment horizontal="left" vertical="center" indent="1"/>
    </xf>
    <xf numFmtId="49" fontId="0" fillId="0" borderId="0" xfId="0" applyNumberFormat="1" applyAlignment="1">
      <alignment horizontal="left" vertical="center" indent="3"/>
    </xf>
    <xf numFmtId="1" fontId="0" fillId="0" borderId="3" xfId="0" applyNumberFormat="1" applyBorder="1" applyAlignment="1">
      <alignment vertical="center"/>
    </xf>
    <xf numFmtId="49" fontId="0" fillId="0" borderId="0" xfId="0" applyNumberFormat="1" applyAlignment="1">
      <alignment horizontal="left" indent="2"/>
    </xf>
    <xf numFmtId="49" fontId="0" fillId="3" borderId="4" xfId="0" applyNumberFormat="1" applyFill="1" applyBorder="1" applyAlignment="1">
      <alignment horizontal="left" vertical="center" indent="1"/>
    </xf>
    <xf numFmtId="49" fontId="0" fillId="0" borderId="4" xfId="0" applyNumberFormat="1" applyBorder="1" applyAlignment="1">
      <alignment horizontal="left" vertical="center" indent="1"/>
    </xf>
    <xf numFmtId="164" fontId="0" fillId="3" borderId="2" xfId="0" applyNumberFormat="1" applyFill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49" fontId="1" fillId="2" borderId="0" xfId="0" applyNumberFormat="1" applyFont="1" applyFill="1" applyAlignment="1">
      <alignment horizontal="left" vertical="center" indent="1"/>
    </xf>
    <xf numFmtId="1" fontId="1" fillId="2" borderId="5" xfId="0" applyNumberFormat="1" applyFont="1" applyFill="1" applyBorder="1" applyAlignment="1">
      <alignment horizontal="right" vertical="center"/>
    </xf>
    <xf numFmtId="49" fontId="1" fillId="2" borderId="5" xfId="0" applyNumberFormat="1" applyFont="1" applyFill="1" applyBorder="1" applyAlignment="1">
      <alignment horizontal="left" vertical="center" indent="1"/>
    </xf>
    <xf numFmtId="14" fontId="2" fillId="2" borderId="5" xfId="0" applyNumberFormat="1" applyFont="1" applyFill="1" applyBorder="1" applyAlignment="1">
      <alignment horizontal="right" vertical="center"/>
    </xf>
    <xf numFmtId="10" fontId="0" fillId="0" borderId="0" xfId="0" applyNumberFormat="1"/>
    <xf numFmtId="10" fontId="1" fillId="2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  <xf numFmtId="10" fontId="0" fillId="4" borderId="1" xfId="0" applyNumberFormat="1" applyFill="1" applyBorder="1" applyAlignment="1">
      <alignment horizontal="right" vertical="center"/>
    </xf>
    <xf numFmtId="10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5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5" borderId="0" xfId="0" applyFont="1" applyFill="1" applyAlignment="1">
      <alignment horizontal="center" vertical="center"/>
    </xf>
    <xf numFmtId="0" fontId="0" fillId="0" borderId="7" xfId="0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2"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fill>
        <patternFill patternType="solid">
          <fgColor theme="4" tint="0.79998168889431442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fill>
        <patternFill patternType="solid">
          <fgColor theme="4" tint="0.79998168889431442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fill>
        <patternFill patternType="solid">
          <fgColor theme="4" tint="0.79998168889431442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1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theme="4"/>
          <bgColor theme="4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01.xlsx]Pivot_table!PivotTable1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Pivot_table!$C$3</c:f>
              <c:strCache>
                <c:ptCount val="1"/>
                <c:pt idx="0">
                  <c:v>Confirmed_cases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Pivot_table!$B$4:$B$14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Pivot_table!$C$4:$C$14</c:f>
              <c:numCache>
                <c:formatCode>0</c:formatCode>
                <c:ptCount val="10"/>
                <c:pt idx="0">
                  <c:v>2442375</c:v>
                </c:pt>
                <c:pt idx="1">
                  <c:v>347923</c:v>
                </c:pt>
                <c:pt idx="2">
                  <c:v>1480073</c:v>
                </c:pt>
                <c:pt idx="3">
                  <c:v>293606</c:v>
                </c:pt>
                <c:pt idx="4">
                  <c:v>395489</c:v>
                </c:pt>
                <c:pt idx="5">
                  <c:v>389717</c:v>
                </c:pt>
                <c:pt idx="6">
                  <c:v>816680</c:v>
                </c:pt>
                <c:pt idx="7">
                  <c:v>452529</c:v>
                </c:pt>
                <c:pt idx="8">
                  <c:v>301708</c:v>
                </c:pt>
                <c:pt idx="9">
                  <c:v>4290259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F-4BB0-BFF4-BCF646A01EBA}"/>
            </c:ext>
          </c:extLst>
        </c:ser>
        <c:ser>
          <c:idx val="1"/>
          <c:order val="1"/>
          <c:tx>
            <c:strRef>
              <c:f>Pivot_table!$D$3</c:f>
              <c:strCache>
                <c:ptCount val="1"/>
                <c:pt idx="0">
                  <c:v>Recovered_cases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Pivot_table!$B$4:$B$14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Pivot_table!$D$4:$D$14</c:f>
              <c:numCache>
                <c:formatCode>General</c:formatCode>
                <c:ptCount val="10"/>
                <c:pt idx="0">
                  <c:v>1846641</c:v>
                </c:pt>
                <c:pt idx="1">
                  <c:v>319954</c:v>
                </c:pt>
                <c:pt idx="2">
                  <c:v>951166</c:v>
                </c:pt>
                <c:pt idx="3">
                  <c:v>255144</c:v>
                </c:pt>
                <c:pt idx="4">
                  <c:v>303810</c:v>
                </c:pt>
                <c:pt idx="5">
                  <c:v>272547</c:v>
                </c:pt>
                <c:pt idx="6">
                  <c:v>602249</c:v>
                </c:pt>
                <c:pt idx="7">
                  <c:v>274925</c:v>
                </c:pt>
                <c:pt idx="8">
                  <c:v>1437</c:v>
                </c:pt>
                <c:pt idx="9">
                  <c:v>1325804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F-4BB0-BFF4-BCF646A01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8932736"/>
        <c:axId val="1958933216"/>
        <c:axId val="0"/>
      </c:bar3DChart>
      <c:catAx>
        <c:axId val="19589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933216"/>
        <c:crosses val="autoZero"/>
        <c:auto val="1"/>
        <c:lblAlgn val="ctr"/>
        <c:lblOffset val="100"/>
        <c:noMultiLvlLbl val="0"/>
      </c:catAx>
      <c:valAx>
        <c:axId val="19589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9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01.xlsx]Pivot_table!PivotTable2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77899994818127"/>
          <c:y val="0.24679278364612817"/>
          <c:w val="0.55495903682946335"/>
          <c:h val="0.52531174895990018"/>
        </c:manualLayout>
      </c:layout>
      <c:lineChart>
        <c:grouping val="standard"/>
        <c:varyColors val="0"/>
        <c:ser>
          <c:idx val="0"/>
          <c:order val="0"/>
          <c:tx>
            <c:strRef>
              <c:f>Pivot_table!$L$3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Pivot_table!$K$4:$K$11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Pivot_table!$L$4:$L$11</c:f>
              <c:numCache>
                <c:formatCode>0</c:formatCode>
                <c:ptCount val="7"/>
                <c:pt idx="0">
                  <c:v>8097972</c:v>
                </c:pt>
                <c:pt idx="1">
                  <c:v>4565502</c:v>
                </c:pt>
                <c:pt idx="2">
                  <c:v>3493247</c:v>
                </c:pt>
                <c:pt idx="3">
                  <c:v>16124</c:v>
                </c:pt>
                <c:pt idx="4">
                  <c:v>505</c:v>
                </c:pt>
                <c:pt idx="5">
                  <c:v>86783</c:v>
                </c:pt>
                <c:pt idx="6">
                  <c:v>220352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1-4A70-B650-3E8E1E0D3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126960"/>
        <c:axId val="1863127440"/>
      </c:lineChart>
      <c:catAx>
        <c:axId val="186312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127440"/>
        <c:crosses val="autoZero"/>
        <c:auto val="1"/>
        <c:lblAlgn val="ctr"/>
        <c:lblOffset val="100"/>
        <c:noMultiLvlLbl val="0"/>
      </c:catAx>
      <c:valAx>
        <c:axId val="186312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12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01.xlsx]Pivot_table!PivotTable3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2-4346-868C-B11AE80DA1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92-4346-868C-B11AE80DA1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92-4346-868C-B11AE80DA1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92-4346-868C-B11AE80DA1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92-4346-868C-B11AE80DA1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92-4346-868C-B11AE80DA1AC}"/>
              </c:ext>
            </c:extLst>
          </c:dPt>
          <c:cat>
            <c:strRef>
              <c:f>Pivot_table!$S$4:$S$10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Pivot_table!$T$4:$T$10</c:f>
              <c:numCache>
                <c:formatCode>0</c:formatCode>
                <c:ptCount val="6"/>
                <c:pt idx="0">
                  <c:v>947320</c:v>
                </c:pt>
                <c:pt idx="1">
                  <c:v>3946274</c:v>
                </c:pt>
                <c:pt idx="2">
                  <c:v>16949</c:v>
                </c:pt>
                <c:pt idx="3">
                  <c:v>2792084</c:v>
                </c:pt>
                <c:pt idx="4">
                  <c:v>4997374</c:v>
                </c:pt>
                <c:pt idx="5">
                  <c:v>3780484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2-4890-8D54-500473956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01.xlsx]Pivot_table!PivotTable5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Pivot_table!$D$18</c:f>
              <c:strCache>
                <c:ptCount val="1"/>
                <c:pt idx="0">
                  <c:v>Confirm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Pivot_table!$B$19:$B$25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Pivot_table!$D$19:$D$25</c:f>
              <c:numCache>
                <c:formatCode>0</c:formatCode>
                <c:ptCount val="6"/>
                <c:pt idx="0">
                  <c:v>947320</c:v>
                </c:pt>
                <c:pt idx="1">
                  <c:v>3946274</c:v>
                </c:pt>
                <c:pt idx="2">
                  <c:v>16949</c:v>
                </c:pt>
                <c:pt idx="3">
                  <c:v>2792084</c:v>
                </c:pt>
                <c:pt idx="4">
                  <c:v>4997374</c:v>
                </c:pt>
                <c:pt idx="5">
                  <c:v>3780484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2-455A-9D2D-CDF690B19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55076752"/>
        <c:axId val="1944473792"/>
      </c:barChart>
      <c:lineChart>
        <c:grouping val="standard"/>
        <c:varyColors val="0"/>
        <c:ser>
          <c:idx val="0"/>
          <c:order val="0"/>
          <c:tx>
            <c:strRef>
              <c:f>Pivot_table!$C$18</c:f>
              <c:strCache>
                <c:ptCount val="1"/>
                <c:pt idx="0">
                  <c:v>Death_Rate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Pivot_table!$B$19:$B$25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Pivot_table!$C$19:$C$25</c:f>
              <c:numCache>
                <c:formatCode>0.00%</c:formatCode>
                <c:ptCount val="6"/>
                <c:pt idx="0">
                  <c:v>2.4757153101587073E-2</c:v>
                </c:pt>
                <c:pt idx="1">
                  <c:v>2.1147354827394303E-2</c:v>
                </c:pt>
                <c:pt idx="2">
                  <c:v>6.2606573924767223E-3</c:v>
                </c:pt>
                <c:pt idx="3">
                  <c:v>4.8755796221625444E-2</c:v>
                </c:pt>
                <c:pt idx="4">
                  <c:v>2.8875818072139955E-2</c:v>
                </c:pt>
                <c:pt idx="5">
                  <c:v>3.1883264618668132E-2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2-455A-9D2D-CDF690B19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476672"/>
        <c:axId val="1944474752"/>
      </c:lineChart>
      <c:catAx>
        <c:axId val="194447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474752"/>
        <c:crosses val="autoZero"/>
        <c:auto val="1"/>
        <c:lblAlgn val="ctr"/>
        <c:lblOffset val="100"/>
        <c:noMultiLvlLbl val="0"/>
      </c:catAx>
      <c:valAx>
        <c:axId val="19444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476672"/>
        <c:crosses val="autoZero"/>
        <c:crossBetween val="between"/>
      </c:valAx>
      <c:valAx>
        <c:axId val="194447379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076752"/>
        <c:crosses val="max"/>
        <c:crossBetween val="between"/>
      </c:valAx>
      <c:catAx>
        <c:axId val="1955076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44737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01.xlsx]Pivot_table!PivotTable1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Pivot_table!$C$3</c:f>
              <c:strCache>
                <c:ptCount val="1"/>
                <c:pt idx="0">
                  <c:v>Confirmed_cases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Pivot_table!$B$4:$B$14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Pivot_table!$C$4:$C$14</c:f>
              <c:numCache>
                <c:formatCode>0</c:formatCode>
                <c:ptCount val="10"/>
                <c:pt idx="0">
                  <c:v>2442375</c:v>
                </c:pt>
                <c:pt idx="1">
                  <c:v>347923</c:v>
                </c:pt>
                <c:pt idx="2">
                  <c:v>1480073</c:v>
                </c:pt>
                <c:pt idx="3">
                  <c:v>293606</c:v>
                </c:pt>
                <c:pt idx="4">
                  <c:v>395489</c:v>
                </c:pt>
                <c:pt idx="5">
                  <c:v>389717</c:v>
                </c:pt>
                <c:pt idx="6">
                  <c:v>816680</c:v>
                </c:pt>
                <c:pt idx="7">
                  <c:v>452529</c:v>
                </c:pt>
                <c:pt idx="8">
                  <c:v>301708</c:v>
                </c:pt>
                <c:pt idx="9">
                  <c:v>4290259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2-4574-A6FC-03718B60AF2F}"/>
            </c:ext>
          </c:extLst>
        </c:ser>
        <c:ser>
          <c:idx val="1"/>
          <c:order val="1"/>
          <c:tx>
            <c:strRef>
              <c:f>Pivot_table!$D$3</c:f>
              <c:strCache>
                <c:ptCount val="1"/>
                <c:pt idx="0">
                  <c:v>Recovered_cases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Pivot_table!$B$4:$B$14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Pivot_table!$D$4:$D$14</c:f>
              <c:numCache>
                <c:formatCode>General</c:formatCode>
                <c:ptCount val="10"/>
                <c:pt idx="0">
                  <c:v>1846641</c:v>
                </c:pt>
                <c:pt idx="1">
                  <c:v>319954</c:v>
                </c:pt>
                <c:pt idx="2">
                  <c:v>951166</c:v>
                </c:pt>
                <c:pt idx="3">
                  <c:v>255144</c:v>
                </c:pt>
                <c:pt idx="4">
                  <c:v>303810</c:v>
                </c:pt>
                <c:pt idx="5">
                  <c:v>272547</c:v>
                </c:pt>
                <c:pt idx="6">
                  <c:v>602249</c:v>
                </c:pt>
                <c:pt idx="7">
                  <c:v>274925</c:v>
                </c:pt>
                <c:pt idx="8">
                  <c:v>1437</c:v>
                </c:pt>
                <c:pt idx="9">
                  <c:v>1325804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2-4574-A6FC-03718B60A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958932736"/>
        <c:axId val="1958933216"/>
        <c:axId val="0"/>
      </c:bar3DChart>
      <c:catAx>
        <c:axId val="19589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933216"/>
        <c:crosses val="autoZero"/>
        <c:auto val="1"/>
        <c:lblAlgn val="ctr"/>
        <c:lblOffset val="100"/>
        <c:noMultiLvlLbl val="0"/>
      </c:catAx>
      <c:valAx>
        <c:axId val="19589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9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01.xlsx]Pivot_table!PivotTable2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wise_case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Pivot_table!$L$3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Pivot_table!$K$4:$K$11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Pivot_table!$L$4:$L$11</c:f>
              <c:numCache>
                <c:formatCode>0</c:formatCode>
                <c:ptCount val="7"/>
                <c:pt idx="0">
                  <c:v>8097972</c:v>
                </c:pt>
                <c:pt idx="1">
                  <c:v>4565502</c:v>
                </c:pt>
                <c:pt idx="2">
                  <c:v>3493247</c:v>
                </c:pt>
                <c:pt idx="3">
                  <c:v>16124</c:v>
                </c:pt>
                <c:pt idx="4">
                  <c:v>505</c:v>
                </c:pt>
                <c:pt idx="5">
                  <c:v>86783</c:v>
                </c:pt>
                <c:pt idx="6">
                  <c:v>220352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B-4C57-B0B8-97D1EA587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863126960"/>
        <c:axId val="1863127440"/>
      </c:lineChart>
      <c:catAx>
        <c:axId val="186312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127440"/>
        <c:crosses val="autoZero"/>
        <c:auto val="1"/>
        <c:lblAlgn val="ctr"/>
        <c:lblOffset val="100"/>
        <c:noMultiLvlLbl val="0"/>
      </c:catAx>
      <c:valAx>
        <c:axId val="186312744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12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accent1"/>
      </a:solidFill>
      <a:round/>
    </a:ln>
    <a:effectLst>
      <a:glow rad="228600">
        <a:schemeClr val="accent6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01.xlsx]Pivot_table!PivotTable3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</a:t>
            </a:r>
            <a:r>
              <a:rPr lang="en-US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34-4872-9B32-E5D5805E5E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34-4872-9B32-E5D5805E5E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534-4872-9B32-E5D5805E5E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534-4872-9B32-E5D5805E5E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534-4872-9B32-E5D5805E5E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534-4872-9B32-E5D5805E5E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Pivot_table!$S$4:$S$10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Pivot_table!$T$4:$T$10</c:f>
              <c:numCache>
                <c:formatCode>0</c:formatCode>
                <c:ptCount val="6"/>
                <c:pt idx="0">
                  <c:v>947320</c:v>
                </c:pt>
                <c:pt idx="1">
                  <c:v>3946274</c:v>
                </c:pt>
                <c:pt idx="2">
                  <c:v>16949</c:v>
                </c:pt>
                <c:pt idx="3">
                  <c:v>2792084</c:v>
                </c:pt>
                <c:pt idx="4">
                  <c:v>4997374</c:v>
                </c:pt>
                <c:pt idx="5">
                  <c:v>3780484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34-4872-9B32-E5D5805E5E2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DATASET - WEEK 01.xlsx]Pivot_table!PivotTable5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Pivot_table!$D$18</c:f>
              <c:strCache>
                <c:ptCount val="1"/>
                <c:pt idx="0">
                  <c:v>Confirm cases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Pivot_table!$B$19:$B$25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Pivot_table!$D$19:$D$25</c:f>
              <c:numCache>
                <c:formatCode>0</c:formatCode>
                <c:ptCount val="6"/>
                <c:pt idx="0">
                  <c:v>947320</c:v>
                </c:pt>
                <c:pt idx="1">
                  <c:v>3946274</c:v>
                </c:pt>
                <c:pt idx="2">
                  <c:v>16949</c:v>
                </c:pt>
                <c:pt idx="3">
                  <c:v>2792084</c:v>
                </c:pt>
                <c:pt idx="4">
                  <c:v>4997374</c:v>
                </c:pt>
                <c:pt idx="5">
                  <c:v>3780484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4-4210-A8E1-9591915B6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55076752"/>
        <c:axId val="1944473792"/>
      </c:barChart>
      <c:lineChart>
        <c:grouping val="standard"/>
        <c:varyColors val="0"/>
        <c:ser>
          <c:idx val="0"/>
          <c:order val="0"/>
          <c:tx>
            <c:strRef>
              <c:f>Pivot_table!$C$18</c:f>
              <c:strCache>
                <c:ptCount val="1"/>
                <c:pt idx="0">
                  <c:v>Death_Rate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Pivot_table!$B$19:$B$25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Pivot_table!$C$19:$C$25</c:f>
              <c:numCache>
                <c:formatCode>0.00%</c:formatCode>
                <c:ptCount val="6"/>
                <c:pt idx="0">
                  <c:v>2.4757153101587073E-2</c:v>
                </c:pt>
                <c:pt idx="1">
                  <c:v>2.1147354827394303E-2</c:v>
                </c:pt>
                <c:pt idx="2">
                  <c:v>6.2606573924767223E-3</c:v>
                </c:pt>
                <c:pt idx="3">
                  <c:v>4.8755796221625444E-2</c:v>
                </c:pt>
                <c:pt idx="4">
                  <c:v>2.8875818072139955E-2</c:v>
                </c:pt>
                <c:pt idx="5">
                  <c:v>3.1883264618668132E-2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4-4210-A8E1-9591915B6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476672"/>
        <c:axId val="1944474752"/>
      </c:lineChart>
      <c:catAx>
        <c:axId val="194447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474752"/>
        <c:crosses val="autoZero"/>
        <c:auto val="1"/>
        <c:lblAlgn val="ctr"/>
        <c:lblOffset val="100"/>
        <c:noMultiLvlLbl val="0"/>
      </c:catAx>
      <c:valAx>
        <c:axId val="194447475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476672"/>
        <c:crosses val="autoZero"/>
        <c:crossBetween val="between"/>
      </c:valAx>
      <c:valAx>
        <c:axId val="1944473792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076752"/>
        <c:crosses val="max"/>
        <c:crossBetween val="between"/>
      </c:valAx>
      <c:catAx>
        <c:axId val="1955076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44737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2</xdr:row>
      <xdr:rowOff>19050</xdr:rowOff>
    </xdr:from>
    <xdr:to>
      <xdr:col>9</xdr:col>
      <xdr:colOff>352425</xdr:colOff>
      <xdr:row>14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51E072-D118-0AD0-E788-32981A354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66675</xdr:colOff>
      <xdr:row>1</xdr:row>
      <xdr:rowOff>188284</xdr:rowOff>
    </xdr:from>
    <xdr:to>
      <xdr:col>17</xdr:col>
      <xdr:colOff>243663</xdr:colOff>
      <xdr:row>16</xdr:row>
      <xdr:rowOff>33226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148534-3D96-8DB5-A2FB-4C704BDE6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342900</xdr:colOff>
      <xdr:row>2</xdr:row>
      <xdr:rowOff>38099</xdr:rowOff>
    </xdr:from>
    <xdr:to>
      <xdr:col>27</xdr:col>
      <xdr:colOff>133350</xdr:colOff>
      <xdr:row>10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213179-2BA6-95BF-121A-4BDF4C9F2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219075</xdr:colOff>
      <xdr:row>17</xdr:row>
      <xdr:rowOff>9525</xdr:rowOff>
    </xdr:from>
    <xdr:to>
      <xdr:col>9</xdr:col>
      <xdr:colOff>590550</xdr:colOff>
      <xdr:row>26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C66FA5-BBF0-577D-F26C-0F4E5FFE1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4</xdr:row>
      <xdr:rowOff>47624</xdr:rowOff>
    </xdr:from>
    <xdr:to>
      <xdr:col>18</xdr:col>
      <xdr:colOff>285749</xdr:colOff>
      <xdr:row>28</xdr:row>
      <xdr:rowOff>123825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97B9A6E4-401F-FBCD-5B67-536F8CBF46F6}"/>
            </a:ext>
          </a:extLst>
        </xdr:cNvPr>
        <xdr:cNvGrpSpPr/>
      </xdr:nvGrpSpPr>
      <xdr:grpSpPr>
        <a:xfrm>
          <a:off x="3495675" y="942974"/>
          <a:ext cx="7762874" cy="4648201"/>
          <a:chOff x="3495675" y="809624"/>
          <a:chExt cx="7762874" cy="4648201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3CC3C147-4C48-4A0D-AD65-385042DAF2D9}"/>
              </a:ext>
            </a:extLst>
          </xdr:cNvPr>
          <xdr:cNvGraphicFramePr>
            <a:graphicFrameLocks/>
          </xdr:cNvGraphicFramePr>
        </xdr:nvGraphicFramePr>
        <xdr:xfrm>
          <a:off x="3533775" y="828675"/>
          <a:ext cx="3695700" cy="21832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693D9C5E-203C-4F69-A1D0-8F158954187B}"/>
              </a:ext>
            </a:extLst>
          </xdr:cNvPr>
          <xdr:cNvGraphicFramePr>
            <a:graphicFrameLocks/>
          </xdr:cNvGraphicFramePr>
        </xdr:nvGraphicFramePr>
        <xdr:xfrm>
          <a:off x="7496175" y="3400424"/>
          <a:ext cx="3762374" cy="20383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7E26D12-7AF0-41B9-9DC5-4ADA3545C836}"/>
              </a:ext>
            </a:extLst>
          </xdr:cNvPr>
          <xdr:cNvGraphicFramePr>
            <a:graphicFrameLocks/>
          </xdr:cNvGraphicFramePr>
        </xdr:nvGraphicFramePr>
        <xdr:xfrm>
          <a:off x="3495675" y="3400424"/>
          <a:ext cx="3733800" cy="2057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F3CBA461-EDF9-4B92-AC9C-40EE591ECD89}"/>
              </a:ext>
            </a:extLst>
          </xdr:cNvPr>
          <xdr:cNvGraphicFramePr>
            <a:graphicFrameLocks/>
          </xdr:cNvGraphicFramePr>
        </xdr:nvGraphicFramePr>
        <xdr:xfrm>
          <a:off x="7419974" y="809624"/>
          <a:ext cx="3771901" cy="21907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5</xdr:col>
      <xdr:colOff>504825</xdr:colOff>
      <xdr:row>1</xdr:row>
      <xdr:rowOff>95250</xdr:rowOff>
    </xdr:from>
    <xdr:to>
      <xdr:col>18</xdr:col>
      <xdr:colOff>228600</xdr:colOff>
      <xdr:row>3</xdr:row>
      <xdr:rowOff>104775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0072809-D04A-C2DB-3997-F644CE822E69}"/>
            </a:ext>
          </a:extLst>
        </xdr:cNvPr>
        <xdr:cNvSpPr/>
      </xdr:nvSpPr>
      <xdr:spPr>
        <a:xfrm>
          <a:off x="3552825" y="285750"/>
          <a:ext cx="7648575" cy="523875"/>
        </a:xfrm>
        <a:prstGeom prst="rect">
          <a:avLst/>
        </a:prstGeom>
        <a:noFill/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" refreshedDate="46020.402766203704" createdVersion="8" refreshedVersion="8" minRefreshableVersion="3" recordCount="187" xr:uid="{655C061A-9E6E-42BC-94AF-FF8CB9C7EFA5}">
  <cacheSource type="worksheet">
    <worksheetSource name="Table1"/>
  </cacheSource>
  <cacheFields count="15">
    <cacheField name="Country/Region" numFmtId="49">
      <sharedItems count="187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Myanmar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 (Brazzaville)"/>
        <s v="Congo (Kinshasa)"/>
        <s v="Costa Rica"/>
        <s v="Cote d'Ivoire"/>
        <s v="Croatia"/>
        <s v="Cuba"/>
        <s v="Cyprus"/>
        <s v="Czechia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enland"/>
        <s v="Grenada"/>
        <s v="Guatemala"/>
        <s v="Guinea"/>
        <s v="Guinea-Bissau"/>
        <s v="Guyana"/>
        <s v="Haiti"/>
        <s v="Holy See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oldova"/>
        <s v="Monaco"/>
        <s v="Mongolia"/>
        <s v="Montenegro"/>
        <s v="Morocco"/>
        <s v="Mozambique"/>
        <s v="Namibia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imor-Leste"/>
        <s v="Togo"/>
        <s v="Trinidad and Tobago"/>
        <s v="Tunisia"/>
        <s v="Turkey"/>
        <s v="US"/>
        <s v="Uganda"/>
        <s v="Ukraine"/>
        <s v="United Arab Emirates"/>
        <s v="United Kingdom"/>
        <s v="Uruguay"/>
        <s v="Uzbekistan"/>
        <s v="Venezuela"/>
        <s v="Vietnam"/>
        <s v="West Bank and Gaza"/>
        <s v="Western Sahara"/>
        <s v="Yemen"/>
        <s v="Zambia"/>
        <s v="Zimbabwe"/>
      </sharedItems>
    </cacheField>
    <cacheField name="Confirmed" numFmtId="1">
      <sharedItems containsSemiMixedTypes="0" containsString="0" containsNumber="1" containsInteger="1" minValue="10" maxValue="4290259" count="184">
        <n v="36263"/>
        <n v="4880"/>
        <n v="27973"/>
        <n v="907"/>
        <n v="950"/>
        <n v="86"/>
        <n v="167416"/>
        <n v="37390"/>
        <n v="15303"/>
        <n v="20558"/>
        <n v="30446"/>
        <n v="382"/>
        <n v="39482"/>
        <n v="226225"/>
        <n v="110"/>
        <n v="67251"/>
        <n v="66428"/>
        <n v="48"/>
        <n v="1770"/>
        <n v="99"/>
        <n v="71181"/>
        <n v="10498"/>
        <n v="739"/>
        <n v="2442375"/>
        <n v="141"/>
        <n v="10621"/>
        <n v="1100"/>
        <n v="350"/>
        <n v="378"/>
        <n v="2328"/>
        <n v="226"/>
        <n v="17110"/>
        <n v="116458"/>
        <n v="4599"/>
        <n v="922"/>
        <n v="347923"/>
        <n v="86783"/>
        <n v="257101"/>
        <n v="354"/>
        <n v="3200"/>
        <n v="8844"/>
        <n v="15841"/>
        <n v="15655"/>
        <n v="4881"/>
        <n v="2532"/>
        <n v="1060"/>
        <n v="15516"/>
        <n v="13761"/>
        <n v="5059"/>
        <n v="18"/>
        <n v="64156"/>
        <n v="81161"/>
        <n v="92482"/>
        <n v="15035"/>
        <n v="3071"/>
        <n v="265"/>
        <n v="2034"/>
        <n v="2316"/>
        <n v="14547"/>
        <n v="27"/>
        <n v="7398"/>
        <n v="220352"/>
        <n v="7189"/>
        <n v="326"/>
        <n v="1137"/>
        <n v="207112"/>
        <n v="33624"/>
        <n v="4227"/>
        <n v="14"/>
        <n v="23"/>
        <n v="45309"/>
        <n v="7055"/>
        <n v="1954"/>
        <n v="389"/>
        <n v="7340"/>
        <n v="12"/>
        <n v="39741"/>
        <n v="4448"/>
        <n v="1854"/>
        <n v="1480073"/>
        <n v="100303"/>
        <n v="293606"/>
        <n v="112585"/>
        <n v="25892"/>
        <n v="63985"/>
        <n v="246286"/>
        <n v="853"/>
        <n v="31142"/>
        <n v="1176"/>
        <n v="84648"/>
        <n v="17975"/>
        <n v="7413"/>
        <n v="64379"/>
        <n v="33296"/>
        <n v="20"/>
        <n v="1219"/>
        <n v="3882"/>
        <n v="505"/>
        <n v="1167"/>
        <n v="2827"/>
        <n v="2019"/>
        <n v="6321"/>
        <n v="9690"/>
        <n v="3664"/>
        <n v="8904"/>
        <n v="3369"/>
        <n v="2513"/>
        <n v="701"/>
        <n v="6208"/>
        <n v="344"/>
        <n v="395489"/>
        <n v="23154"/>
        <n v="116"/>
        <n v="289"/>
        <n v="2893"/>
        <n v="20887"/>
        <n v="1701"/>
        <n v="1843"/>
        <n v="18752"/>
        <n v="53413"/>
        <n v="1557"/>
        <n v="3439"/>
        <n v="1132"/>
        <n v="41180"/>
        <n v="10213"/>
        <n v="9132"/>
        <n v="77058"/>
        <n v="274289"/>
        <n v="61442"/>
        <n v="62"/>
        <n v="4548"/>
        <n v="389717"/>
        <n v="82040"/>
        <n v="43402"/>
        <n v="50299"/>
        <n v="109597"/>
        <n v="45902"/>
        <n v="816680"/>
        <n v="1879"/>
        <n v="17"/>
        <n v="24"/>
        <n v="52"/>
        <n v="699"/>
        <n v="865"/>
        <n v="268934"/>
        <n v="9764"/>
        <n v="24141"/>
        <n v="114"/>
        <n v="1783"/>
        <n v="50838"/>
        <n v="2181"/>
        <n v="2087"/>
        <n v="3196"/>
        <n v="452529"/>
        <n v="14203"/>
        <n v="2305"/>
        <n v="272421"/>
        <n v="2805"/>
        <n v="11424"/>
        <n v="1483"/>
        <n v="79395"/>
        <n v="34477"/>
        <n v="674"/>
        <n v="462"/>
        <n v="7235"/>
        <n v="509"/>
        <n v="3297"/>
        <n v="874"/>
        <n v="148"/>
        <n v="1455"/>
        <n v="227019"/>
        <n v="4290259"/>
        <n v="1128"/>
        <n v="67096"/>
        <n v="59177"/>
        <n v="301708"/>
        <n v="1202"/>
        <n v="21209"/>
        <n v="15988"/>
        <n v="431"/>
        <n v="10"/>
        <n v="1691"/>
        <n v="4552"/>
        <n v="2704"/>
      </sharedItems>
    </cacheField>
    <cacheField name="Deaths" numFmtId="1">
      <sharedItems containsMixedTypes="1" containsNumber="1" containsInteger="1" minValue="0" maxValue="148011" count="150">
        <s v="1269"/>
        <n v="144"/>
        <n v="1163"/>
        <n v="52"/>
        <n v="41"/>
        <n v="3"/>
        <n v="3059"/>
        <n v="711"/>
        <n v="167"/>
        <n v="713"/>
        <n v="423"/>
        <n v="11"/>
        <n v="141"/>
        <n v="2965"/>
        <n v="7"/>
        <n v="538"/>
        <n v="9822"/>
        <n v="2"/>
        <n v="35"/>
        <n v="0"/>
        <n v="2647"/>
        <n v="294"/>
        <n v="87618"/>
        <n v="347"/>
        <n v="53"/>
        <n v="6"/>
        <n v="1"/>
        <n v="22"/>
        <n v="391"/>
        <n v="8944"/>
        <n v="59"/>
        <n v="75"/>
        <n v="9187"/>
        <n v="4656"/>
        <n v="8777"/>
        <n v="54"/>
        <n v="208"/>
        <n v="115"/>
        <n v="96"/>
        <n v="139"/>
        <n v="87"/>
        <n v="19"/>
        <n v="373"/>
        <n v="613"/>
        <n v="58"/>
        <n v="1083"/>
        <n v="5532"/>
        <n v="4652"/>
        <n v="408"/>
        <n v="51"/>
        <n v="69"/>
        <n v="34"/>
        <n v="228"/>
        <n v="329"/>
        <n v="30212"/>
        <n v="49"/>
        <n v="8"/>
        <n v="16"/>
        <n v="9125"/>
        <n v="168"/>
        <n v="202"/>
        <n v="1761"/>
        <n v="45"/>
        <n v="26"/>
        <n v="20"/>
        <n v="158"/>
        <n v="1166"/>
        <n v="596"/>
        <n v="10"/>
        <n v="33408"/>
        <n v="4838"/>
        <n v="15912"/>
        <n v="4458"/>
        <n v="1764"/>
        <n v="474"/>
        <n v="35112"/>
        <n v="998"/>
        <n v="585"/>
        <n v="285"/>
        <n v="185"/>
        <n v="438"/>
        <n v="1301"/>
        <n v="31"/>
        <n v="12"/>
        <n v="72"/>
        <n v="64"/>
        <n v="80"/>
        <n v="112"/>
        <n v="91"/>
        <n v="99"/>
        <n v="124"/>
        <n v="15"/>
        <n v="9"/>
        <n v="156"/>
        <n v="44022"/>
        <n v="748"/>
        <n v="4"/>
        <n v="316"/>
        <n v="48"/>
        <n v="6160"/>
        <n v="108"/>
        <n v="860"/>
        <n v="466"/>
        <n v="255"/>
        <n v="393"/>
        <n v="5842"/>
        <n v="1322"/>
        <n v="43"/>
        <n v="18418"/>
        <n v="1945"/>
        <n v="1676"/>
        <n v="1719"/>
        <n v="165"/>
        <n v="2206"/>
        <n v="13334"/>
        <n v="5"/>
        <n v="42"/>
        <n v="14"/>
        <n v="2760"/>
        <n v="194"/>
        <n v="543"/>
        <n v="66"/>
        <n v="27"/>
        <n v="28"/>
        <n v="116"/>
        <n v="93"/>
        <n v="7067"/>
        <n v="300"/>
        <n v="46"/>
        <n v="28432"/>
        <n v="720"/>
        <n v="24"/>
        <n v="5700"/>
        <n v="1978"/>
        <n v="40"/>
        <n v="60"/>
        <n v="21"/>
        <n v="18"/>
        <n v="50"/>
        <n v="5630"/>
        <n v="148011"/>
        <n v="1636"/>
        <n v="345"/>
        <n v="45844"/>
        <n v="121"/>
        <n v="146"/>
        <n v="78"/>
        <n v="483"/>
        <n v="140"/>
        <n v="36"/>
      </sharedItems>
    </cacheField>
    <cacheField name="Recovered" numFmtId="1">
      <sharedItems containsMixedTypes="1" containsNumber="1" containsInteger="1" minValue="0" maxValue="1846641"/>
    </cacheField>
    <cacheField name="Active" numFmtId="1">
      <sharedItems containsMixedTypes="1" containsNumber="1" containsInteger="1" minValue="0" maxValue="2816444"/>
    </cacheField>
    <cacheField name="Population" numFmtId="1">
      <sharedItems containsMixedTypes="1" containsNumber="1" containsInteger="1" minValue="528" maxValue="1411778724"/>
    </cacheField>
    <cacheField name="Continent" numFmtId="49">
      <sharedItems count="6">
        <s v="Asia"/>
        <s v="Europe"/>
        <s v="Africa"/>
        <s v="North America"/>
        <s v="South America"/>
        <s v="Australia/Oceania"/>
      </sharedItems>
    </cacheField>
    <cacheField name="Date of First Case" numFmtId="164">
      <sharedItems containsSemiMixedTypes="0" containsNonDate="0" containsDate="1" containsString="0" minDate="2019-11-17T00:00:00" maxDate="2020-05-14T00:00:00" count="57">
        <d v="2020-02-24T00:00:00"/>
        <d v="2020-03-09T00:00:00"/>
        <d v="2020-02-25T00:00:00"/>
        <d v="2020-03-02T00:00:00"/>
        <d v="2020-03-21T00:00:00"/>
        <d v="2020-03-13T00:00:00"/>
        <d v="2020-03-03T00:00:00"/>
        <d v="2020-03-01T00:00:00"/>
        <d v="2020-01-25T00:00:00"/>
        <d v="2020-02-28T00:00:00"/>
        <d v="2020-03-15T00:00:00"/>
        <d v="2020-02-21T00:00:00"/>
        <d v="2020-03-08T00:00:00"/>
        <d v="2020-03-17T00:00:00"/>
        <d v="2020-02-04T00:00:00"/>
        <d v="2020-03-23T00:00:00"/>
        <d v="2020-03-16T00:00:00"/>
        <d v="2020-03-06T00:00:00"/>
        <d v="2020-03-10T00:00:00"/>
        <d v="2020-03-05T00:00:00"/>
        <d v="2020-03-30T00:00:00"/>
        <d v="2020-02-26T00:00:00"/>
        <d v="2020-03-31T00:00:00"/>
        <d v="2020-03-20T00:00:00"/>
        <d v="2020-01-27T00:00:00"/>
        <d v="2020-03-14T00:00:00"/>
        <d v="2020-03-19T00:00:00"/>
        <d v="2019-11-17T00:00:00"/>
        <d v="2020-04-30T00:00:00"/>
        <d v="2020-03-11T00:00:00"/>
        <d v="2020-02-27T00:00:00"/>
        <d v="2020-03-18T00:00:00"/>
        <d v="2020-03-22T00:00:00"/>
        <d v="2020-02-29T00:00:00"/>
        <d v="2020-02-14T00:00:00"/>
        <d v="2019-12-27T00:00:00"/>
        <d v="2020-03-12T00:00:00"/>
        <d v="2020-03-25T00:00:00"/>
        <d v="2020-03-04T00:00:00"/>
        <d v="2020-01-30T00:00:00"/>
        <d v="2020-02-19T00:00:00"/>
        <d v="2020-02-22T00:00:00"/>
        <d v="2020-01-31T00:00:00"/>
        <d v="2020-01-16T00:00:00"/>
        <d v="2020-03-24T00:00:00"/>
        <d v="2020-05-13T00:00:00"/>
        <d v="2020-04-01T00:00:00"/>
        <d v="2020-03-07T00:00:00"/>
        <d v="2020-01-13T00:00:00"/>
        <d v="2020-04-06T00:00:00"/>
        <d v="2020-01-23T00:00:00"/>
        <d v="2020-01-20T00:00:00"/>
        <d v="2020-04-05T00:00:00"/>
        <d v="2020-01-21T00:00:00"/>
        <d v="2020-01-29T00:00:00"/>
        <d v="2020-04-04T00:00:00"/>
        <d v="2020-04-10T00:00:00"/>
      </sharedItems>
      <fieldGroup par="14"/>
    </cacheField>
    <cacheField name="Death_Rate" numFmtId="10">
      <sharedItems containsSemiMixedTypes="0" containsString="0" containsNumber="1" minValue="0" maxValue="0.28562980484920164"/>
    </cacheField>
    <cacheField name="Recovery_rate" numFmtId="10">
      <sharedItems containsSemiMixedTypes="0" containsString="0" containsNumber="1" minValue="0" maxValue="1"/>
    </cacheField>
    <cacheField name="Infection_rate" numFmtId="10">
      <sharedItems containsMixedTypes="1" containsNumber="1" minValue="2.7450845829187114E-6" maxValue="3.9032981278970584E-2"/>
    </cacheField>
    <cacheField name="Risk_categorisation" numFmtId="0">
      <sharedItems/>
    </cacheField>
    <cacheField name="Months (Date of First Case)" numFmtId="0" databaseField="0">
      <fieldGroup base="7">
        <rangePr groupBy="months" startDate="2019-11-17T00:00:00" endDate="2020-05-14T00:00:00"/>
        <groupItems count="14">
          <s v="&lt;17-1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5-2020"/>
        </groupItems>
      </fieldGroup>
    </cacheField>
    <cacheField name="Quarters (Date of First Case)" numFmtId="0" databaseField="0">
      <fieldGroup base="7">
        <rangePr groupBy="quarters" startDate="2019-11-17T00:00:00" endDate="2020-05-14T00:00:00"/>
        <groupItems count="6">
          <s v="&lt;17-11-2019"/>
          <s v="Qtr1"/>
          <s v="Qtr2"/>
          <s v="Qtr3"/>
          <s v="Qtr4"/>
          <s v="&gt;14-05-2020"/>
        </groupItems>
      </fieldGroup>
    </cacheField>
    <cacheField name="Years (Date of First Case)" numFmtId="0" databaseField="0">
      <fieldGroup base="7">
        <rangePr groupBy="years" startDate="2019-11-17T00:00:00" endDate="2020-05-14T00:00:00"/>
        <groupItems count="4">
          <s v="&lt;17-11-2019"/>
          <s v="2019"/>
          <s v="2020"/>
          <s v="&gt;14-05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x v="0"/>
    <s v="25198"/>
    <s v="9796"/>
    <s v="39009447"/>
    <x v="0"/>
    <x v="0"/>
    <n v="3.4994346854920991E-2"/>
    <n v="0.69486804732096075"/>
    <n v="9.2959533622714516E-4"/>
    <s v="Moderate_Risk"/>
  </r>
  <r>
    <x v="1"/>
    <x v="1"/>
    <x v="1"/>
    <n v="2745"/>
    <n v="1991"/>
    <n v="2877470"/>
    <x v="1"/>
    <x v="1"/>
    <n v="2.9508196721311476E-2"/>
    <n v="0.5625"/>
    <n v="1.6959342755962703E-3"/>
    <s v="Moderate_Risk"/>
  </r>
  <r>
    <x v="2"/>
    <x v="2"/>
    <x v="2"/>
    <n v="18837"/>
    <n v="7973"/>
    <n v="43926079"/>
    <x v="2"/>
    <x v="2"/>
    <n v="4.1575805240767885E-2"/>
    <n v="0.67339934937260926"/>
    <n v="6.3681987185790017E-4"/>
    <s v="Moderate_Risk"/>
  </r>
  <r>
    <x v="3"/>
    <x v="3"/>
    <x v="3"/>
    <n v="803"/>
    <n v="52"/>
    <n v="77278"/>
    <x v="1"/>
    <x v="3"/>
    <n v="5.7331863285556783E-2"/>
    <n v="0.88533627342888643"/>
    <n v="1.1736846191671627E-2"/>
    <s v="High_Risk"/>
  </r>
  <r>
    <x v="4"/>
    <x v="4"/>
    <x v="4"/>
    <n v="242"/>
    <n v="667"/>
    <n v="32956300"/>
    <x v="2"/>
    <x v="4"/>
    <n v="4.3157894736842103E-2"/>
    <n v="0.25473684210526315"/>
    <n v="2.8826051468156317E-5"/>
    <s v="Moderate_Risk"/>
  </r>
  <r>
    <x v="5"/>
    <x v="5"/>
    <x v="5"/>
    <n v="65"/>
    <n v="18"/>
    <n v="98010"/>
    <x v="3"/>
    <x v="5"/>
    <n v="3.4883720930232558E-2"/>
    <n v="0.7558139534883721"/>
    <n v="8.7746148352208962E-4"/>
    <s v="Moderate_Risk"/>
  </r>
  <r>
    <x v="6"/>
    <x v="6"/>
    <x v="6"/>
    <n v="72575"/>
    <n v="91782"/>
    <n v="45236884"/>
    <x v="4"/>
    <x v="6"/>
    <n v="1.8271849763463469E-2"/>
    <n v="0.43350097959573758"/>
    <n v="3.7008738267649026E-3"/>
    <s v="Low_Risk"/>
  </r>
  <r>
    <x v="7"/>
    <x v="7"/>
    <x v="7"/>
    <n v="26665"/>
    <n v="10014"/>
    <n v="2963811"/>
    <x v="0"/>
    <x v="7"/>
    <n v="1.901577962021931E-2"/>
    <n v="0.71315859855576358"/>
    <n v="1.2615514282118529E-2"/>
    <s v="Low_Risk"/>
  </r>
  <r>
    <x v="8"/>
    <x v="8"/>
    <x v="8"/>
    <n v="9311"/>
    <n v="5825"/>
    <n v="25528864"/>
    <x v="5"/>
    <x v="8"/>
    <n v="1.0912892896817617E-2"/>
    <n v="0.60844278899562176"/>
    <n v="5.9943912897965216E-4"/>
    <s v="Low_Risk"/>
  </r>
  <r>
    <x v="9"/>
    <x v="9"/>
    <x v="9"/>
    <n v="18246"/>
    <n v="1599"/>
    <n v="9011577"/>
    <x v="1"/>
    <x v="2"/>
    <n v="3.4682362097480303E-2"/>
    <n v="0.88753769821967121"/>
    <n v="2.2812877257776302E-3"/>
    <s v="Moderate_Risk"/>
  </r>
  <r>
    <x v="10"/>
    <x v="10"/>
    <x v="10"/>
    <n v="23242"/>
    <n v="6781"/>
    <n v="10148243"/>
    <x v="0"/>
    <x v="9"/>
    <n v="1.389345069959929E-2"/>
    <n v="0.76338435262431847"/>
    <n v="3.0001252433549336E-3"/>
    <s v="Low_Risk"/>
  </r>
  <r>
    <x v="11"/>
    <x v="11"/>
    <x v="11"/>
    <n v="91"/>
    <n v="280"/>
    <n v="393616"/>
    <x v="3"/>
    <x v="10"/>
    <n v="2.8795811518324606E-2"/>
    <n v="0.23821989528795812"/>
    <n v="9.7048900451201169E-4"/>
    <s v="Moderate_Risk"/>
  </r>
  <r>
    <x v="12"/>
    <x v="12"/>
    <x v="12"/>
    <n v="36110"/>
    <n v="3231"/>
    <n v="1706669"/>
    <x v="0"/>
    <x v="11"/>
    <n v="3.5712476571602247E-3"/>
    <n v="0.91459399219897675"/>
    <n v="2.3133952746548978E-2"/>
    <s v="Low_Risk"/>
  </r>
  <r>
    <x v="13"/>
    <x v="13"/>
    <x v="13"/>
    <n v="125683"/>
    <n v="97577"/>
    <n v="164851401"/>
    <x v="0"/>
    <x v="12"/>
    <n v="1.3106420598961211E-2"/>
    <n v="0.55556636092385903"/>
    <n v="1.3722964962851604E-3"/>
    <s v="Low_Risk"/>
  </r>
  <r>
    <x v="14"/>
    <x v="14"/>
    <x v="14"/>
    <n v="94"/>
    <n v="9"/>
    <n v="287411"/>
    <x v="3"/>
    <x v="13"/>
    <n v="6.363636363636363E-2"/>
    <n v="0.8545454545454545"/>
    <n v="3.8272717467320317E-4"/>
    <s v="High_Risk"/>
  </r>
  <r>
    <x v="15"/>
    <x v="15"/>
    <x v="15"/>
    <n v="60492"/>
    <n v="6221"/>
    <n v="9449001"/>
    <x v="1"/>
    <x v="9"/>
    <n v="7.9998810426610764E-3"/>
    <n v="0.89949591827630815"/>
    <n v="7.1172603326002401E-3"/>
    <s v="Low_Risk"/>
  </r>
  <r>
    <x v="16"/>
    <x v="16"/>
    <x v="16"/>
    <n v="17452"/>
    <n v="39154"/>
    <n v="11594739"/>
    <x v="1"/>
    <x v="14"/>
    <n v="0.14785933642439936"/>
    <n v="0.26272053953152286"/>
    <n v="5.7291500912612179E-3"/>
    <s v="High_Risk"/>
  </r>
  <r>
    <x v="17"/>
    <x v="17"/>
    <x v="17"/>
    <n v="26"/>
    <n v="20"/>
    <n v="398312"/>
    <x v="3"/>
    <x v="15"/>
    <n v="4.1666666666666664E-2"/>
    <n v="0.54166666666666663"/>
    <n v="1.2050854606439174E-4"/>
    <s v="Moderate_Risk"/>
  </r>
  <r>
    <x v="18"/>
    <x v="18"/>
    <x v="18"/>
    <n v="1036"/>
    <n v="699"/>
    <n v="12151976"/>
    <x v="2"/>
    <x v="16"/>
    <n v="1.977401129943503E-2"/>
    <n v="0.58531073446327686"/>
    <n v="1.4565532387489903E-4"/>
    <s v="Low_Risk"/>
  </r>
  <r>
    <x v="19"/>
    <x v="19"/>
    <x v="19"/>
    <n v="86"/>
    <n v="13"/>
    <n v="772443"/>
    <x v="0"/>
    <x v="17"/>
    <n v="0"/>
    <n v="0.86868686868686873"/>
    <n v="1.2816479662577045E-4"/>
    <s v="Low_Risk"/>
  </r>
  <r>
    <x v="20"/>
    <x v="20"/>
    <x v="20"/>
    <n v="21478"/>
    <n v="47056"/>
    <n v="11688459"/>
    <x v="4"/>
    <x v="18"/>
    <n v="3.7186889759907839E-2"/>
    <n v="0.30173782329554233"/>
    <n v="6.0898532475495704E-3"/>
    <s v="Moderate_Risk"/>
  </r>
  <r>
    <x v="21"/>
    <x v="21"/>
    <x v="21"/>
    <n v="4930"/>
    <n v="5274"/>
    <n v="3278650"/>
    <x v="1"/>
    <x v="19"/>
    <n v="2.8005334349399887E-2"/>
    <n v="0.46961325966850831"/>
    <n v="3.2019276226495663E-3"/>
    <s v="Moderate_Risk"/>
  </r>
  <r>
    <x v="22"/>
    <x v="22"/>
    <x v="17"/>
    <n v="63"/>
    <n v="674"/>
    <n v="2356075"/>
    <x v="2"/>
    <x v="20"/>
    <n v="2.7063599458728013E-3"/>
    <n v="8.5250338294993233E-2"/>
    <n v="3.1365724775314879E-4"/>
    <s v="Low_Risk"/>
  </r>
  <r>
    <x v="23"/>
    <x v="23"/>
    <x v="22"/>
    <n v="1846641"/>
    <n v="508116"/>
    <n v="212710692"/>
    <x v="4"/>
    <x v="21"/>
    <n v="3.5874097957930291E-2"/>
    <n v="0.75608413941348074"/>
    <n v="1.1482144959596107E-2"/>
    <s v="Moderate_Risk"/>
  </r>
  <r>
    <x v="24"/>
    <x v="24"/>
    <x v="5"/>
    <n v="138"/>
    <n v="0"/>
    <n v="437893"/>
    <x v="0"/>
    <x v="1"/>
    <n v="2.1276595744680851E-2"/>
    <n v="0.97872340425531912"/>
    <n v="3.2199646945715047E-4"/>
    <s v="Moderate_Risk"/>
  </r>
  <r>
    <x v="25"/>
    <x v="25"/>
    <x v="23"/>
    <n v="5585"/>
    <n v="4689"/>
    <n v="6942854"/>
    <x v="1"/>
    <x v="12"/>
    <n v="3.2671123246398641E-2"/>
    <n v="0.52584502400903865"/>
    <n v="1.5297743550418891E-3"/>
    <s v="Moderate_Risk"/>
  </r>
  <r>
    <x v="26"/>
    <x v="26"/>
    <x v="24"/>
    <n v="926"/>
    <n v="121"/>
    <n v="20954852"/>
    <x v="2"/>
    <x v="1"/>
    <n v="4.818181818181818E-2"/>
    <n v="0.8418181818181818"/>
    <n v="5.2493809071044739E-5"/>
    <s v="Moderate_Risk"/>
  </r>
  <r>
    <x v="27"/>
    <x v="27"/>
    <x v="25"/>
    <n v="292"/>
    <n v="52"/>
    <n v="54446389"/>
    <x v="0"/>
    <x v="15"/>
    <n v="1.7142857142857144E-2"/>
    <n v="0.8342857142857143"/>
    <n v="6.4283418318155129E-6"/>
    <s v="Low_Risk"/>
  </r>
  <r>
    <x v="28"/>
    <x v="28"/>
    <x v="26"/>
    <n v="301"/>
    <n v="76"/>
    <n v="11922216"/>
    <x v="2"/>
    <x v="22"/>
    <n v="2.6455026455026454E-3"/>
    <n v="0.79629629629629628"/>
    <n v="3.1705515149197092E-5"/>
    <s v="Low_Risk"/>
  </r>
  <r>
    <x v="29"/>
    <x v="29"/>
    <x v="27"/>
    <n v="1550"/>
    <n v="756"/>
    <n v="556581"/>
    <x v="2"/>
    <x v="23"/>
    <n v="9.4501718213058413E-3"/>
    <n v="0.66580756013745701"/>
    <n v="4.1826796099759065E-3"/>
    <s v="Low_Risk"/>
  </r>
  <r>
    <x v="30"/>
    <x v="30"/>
    <x v="19"/>
    <n v="147"/>
    <n v="79"/>
    <n v="16741375"/>
    <x v="0"/>
    <x v="24"/>
    <n v="0"/>
    <n v="0.65044247787610621"/>
    <n v="1.349948854260776E-5"/>
    <s v="Low_Risk"/>
  </r>
  <r>
    <x v="31"/>
    <x v="31"/>
    <x v="28"/>
    <n v="14539"/>
    <n v="2180"/>
    <n v="26606188"/>
    <x v="2"/>
    <x v="17"/>
    <n v="2.2852133255406196E-2"/>
    <n v="0.84973699590882523"/>
    <n v="6.4308348118114476E-4"/>
    <s v="Moderate_Risk"/>
  </r>
  <r>
    <x v="32"/>
    <x v="32"/>
    <x v="29"/>
    <n v="0"/>
    <n v="107514"/>
    <n v="37775022"/>
    <x v="3"/>
    <x v="8"/>
    <n v="7.6800219821738305E-2"/>
    <n v="0"/>
    <n v="3.0829366558674672E-3"/>
    <s v="High_Risk"/>
  </r>
  <r>
    <x v="33"/>
    <x v="33"/>
    <x v="30"/>
    <n v="1546"/>
    <n v="2994"/>
    <n v="4837752"/>
    <x v="2"/>
    <x v="25"/>
    <n v="1.2828875842574472E-2"/>
    <n v="0.33616003479017176"/>
    <n v="9.5064815228229974E-4"/>
    <s v="Low_Risk"/>
  </r>
  <r>
    <x v="34"/>
    <x v="34"/>
    <x v="31"/>
    <n v="810"/>
    <n v="37"/>
    <s v=" 17224679"/>
    <x v="2"/>
    <x v="26"/>
    <n v="8.1344902386117135E-2"/>
    <n v="0.87852494577006512"/>
    <e v="#VALUE!"/>
    <s v="High_Risk"/>
  </r>
  <r>
    <x v="35"/>
    <x v="35"/>
    <x v="32"/>
    <n v="319954"/>
    <n v="18782"/>
    <n v="19132514"/>
    <x v="4"/>
    <x v="6"/>
    <n v="2.6405267832250241E-2"/>
    <n v="0.91961152323933748"/>
    <n v="1.8184907639424697E-2"/>
    <s v="Moderate_Risk"/>
  </r>
  <r>
    <x v="36"/>
    <x v="36"/>
    <x v="33"/>
    <n v="78869"/>
    <n v="3258"/>
    <n v="1411778724"/>
    <x v="2"/>
    <x v="27"/>
    <n v="5.365106069161011E-2"/>
    <n v="0.90880702441722461"/>
    <n v="6.1470681293536756E-5"/>
    <s v="High_Risk"/>
  </r>
  <r>
    <x v="37"/>
    <x v="37"/>
    <x v="34"/>
    <n v="131161"/>
    <n v="117163"/>
    <n v="50936262"/>
    <x v="4"/>
    <x v="17"/>
    <n v="3.4138334740043796E-2"/>
    <n v="0.51015359722443709"/>
    <n v="5.0475042711222119E-3"/>
    <s v="Moderate_Risk"/>
  </r>
  <r>
    <x v="38"/>
    <x v="38"/>
    <x v="14"/>
    <n v="328"/>
    <n v="19"/>
    <n v="871326"/>
    <x v="2"/>
    <x v="28"/>
    <n v="1.977401129943503E-2"/>
    <n v="0.92655367231638419"/>
    <n v="4.0627732903643414E-4"/>
    <s v="Low_Risk"/>
  </r>
  <r>
    <x v="39"/>
    <x v="39"/>
    <x v="35"/>
    <n v="829"/>
    <n v="2317"/>
    <n v="5530506"/>
    <x v="2"/>
    <x v="25"/>
    <n v="1.6875000000000001E-2"/>
    <n v="0.25906249999999997"/>
    <n v="5.7860890124701071E-4"/>
    <s v="Low_Risk"/>
  </r>
  <r>
    <x v="40"/>
    <x v="40"/>
    <x v="36"/>
    <n v="5700"/>
    <n v="2936"/>
    <n v="96076573"/>
    <x v="2"/>
    <x v="18"/>
    <n v="2.3518769787426504E-2"/>
    <n v="0.64450474898236088"/>
    <n v="9.2051576402501362E-5"/>
    <s v="Moderate_Risk"/>
  </r>
  <r>
    <x v="41"/>
    <x v="41"/>
    <x v="37"/>
    <n v="3824"/>
    <n v="11902"/>
    <n v="5098730"/>
    <x v="3"/>
    <x v="17"/>
    <n v="7.2596426993245377E-3"/>
    <n v="0.24139890158449592"/>
    <n v="3.1068520984637352E-3"/>
    <s v="Low_Risk"/>
  </r>
  <r>
    <x v="42"/>
    <x v="42"/>
    <x v="38"/>
    <n v="10361"/>
    <n v="5198"/>
    <n v="26172000"/>
    <x v="2"/>
    <x v="29"/>
    <n v="6.1322261258383902E-3"/>
    <n v="0.66183328010220377"/>
    <n v="5.9815833715421058E-4"/>
    <s v="Low_Risk"/>
  </r>
  <r>
    <x v="43"/>
    <x v="43"/>
    <x v="39"/>
    <n v="3936"/>
    <n v="806"/>
    <n v="4102577"/>
    <x v="1"/>
    <x v="2"/>
    <n v="2.8477770948576113E-2"/>
    <n v="0.80639213275968036"/>
    <n v="1.1897400097548444E-3"/>
    <s v="Moderate_Risk"/>
  </r>
  <r>
    <x v="44"/>
    <x v="44"/>
    <x v="40"/>
    <n v="2351"/>
    <n v="94"/>
    <n v="11325899"/>
    <x v="3"/>
    <x v="29"/>
    <n v="3.4360189573459717E-2"/>
    <n v="0.92851500789889418"/>
    <n v="2.2355841244920161E-4"/>
    <s v="Moderate_Risk"/>
  </r>
  <r>
    <x v="45"/>
    <x v="45"/>
    <x v="41"/>
    <n v="852"/>
    <n v="189"/>
    <n v="1208238"/>
    <x v="0"/>
    <x v="1"/>
    <n v="1.7924528301886792E-2"/>
    <n v="0.80377358490566042"/>
    <n v="8.7731059609116749E-4"/>
    <s v="Low_Risk"/>
  </r>
  <r>
    <x v="46"/>
    <x v="46"/>
    <x v="42"/>
    <n v="11428"/>
    <n v="3715"/>
    <n v="10711019"/>
    <x v="1"/>
    <x v="7"/>
    <n v="2.4039700953854087E-2"/>
    <n v="0.7365300335137922"/>
    <n v="1.4486016689915311E-3"/>
    <s v="Moderate_Risk"/>
  </r>
  <r>
    <x v="47"/>
    <x v="47"/>
    <x v="43"/>
    <n v="12605"/>
    <n v="543"/>
    <n v="5794279"/>
    <x v="1"/>
    <x v="30"/>
    <n v="4.454618123682872E-2"/>
    <n v="0.91599447714555626"/>
    <n v="2.3749287875160997E-3"/>
    <s v="Moderate_Risk"/>
  </r>
  <r>
    <x v="48"/>
    <x v="48"/>
    <x v="44"/>
    <n v="4977"/>
    <n v="24"/>
    <n v="989387"/>
    <x v="2"/>
    <x v="31"/>
    <n v="1.1464716347104172E-2"/>
    <n v="0.98379126309547338"/>
    <n v="5.1132671037723357E-3"/>
    <s v="Low_Risk"/>
  </r>
  <r>
    <x v="49"/>
    <x v="49"/>
    <x v="19"/>
    <n v="18"/>
    <n v="0"/>
    <n v="72004"/>
    <x v="3"/>
    <x v="32"/>
    <n v="0"/>
    <n v="1"/>
    <n v="2.4998611188267316E-4"/>
    <s v="Low_Risk"/>
  </r>
  <r>
    <x v="50"/>
    <x v="50"/>
    <x v="45"/>
    <n v="30204"/>
    <n v="32869"/>
    <n v="10858648"/>
    <x v="3"/>
    <x v="7"/>
    <n v="1.688072822495168E-2"/>
    <n v="0.47078994949809838"/>
    <n v="5.9082861881147638E-3"/>
    <s v="Low_Risk"/>
  </r>
  <r>
    <x v="51"/>
    <x v="51"/>
    <x v="46"/>
    <n v="34896"/>
    <n v="40733"/>
    <n v="17668824"/>
    <x v="4"/>
    <x v="33"/>
    <n v="6.8160816155542689E-2"/>
    <n v="0.42996020256034301"/>
    <n v="4.5934579460410038E-3"/>
    <s v="High_Risk"/>
  </r>
  <r>
    <x v="52"/>
    <x v="52"/>
    <x v="47"/>
    <n v="34838"/>
    <n v="52992"/>
    <n v="102516525"/>
    <x v="2"/>
    <x v="34"/>
    <n v="5.0301680326982547E-2"/>
    <n v="0.37670033087519733"/>
    <n v="9.0211797561417541E-4"/>
    <s v="High_Risk"/>
  </r>
  <r>
    <x v="53"/>
    <x v="53"/>
    <x v="48"/>
    <n v="7778"/>
    <n v="6849"/>
    <n v="6489514"/>
    <x v="3"/>
    <x v="26"/>
    <n v="2.7136681077485868E-2"/>
    <n v="0.51732623877618888"/>
    <n v="2.3168144794818227E-3"/>
    <s v="Moderate_Risk"/>
  </r>
  <r>
    <x v="54"/>
    <x v="54"/>
    <x v="49"/>
    <n v="842"/>
    <n v="2178"/>
    <n v="1407001"/>
    <x v="2"/>
    <x v="25"/>
    <n v="1.6606968414197329E-2"/>
    <n v="0.27417779225008143"/>
    <n v="2.1826565865980196E-3"/>
    <s v="Low_Risk"/>
  </r>
  <r>
    <x v="55"/>
    <x v="55"/>
    <x v="19"/>
    <n v="191"/>
    <n v="74"/>
    <n v="3551175"/>
    <x v="2"/>
    <x v="4"/>
    <n v="0"/>
    <n v="0.72075471698113203"/>
    <n v="7.4623188099713479E-5"/>
    <s v="Low_Risk"/>
  </r>
  <r>
    <x v="56"/>
    <x v="56"/>
    <x v="50"/>
    <n v="1923"/>
    <n v="42"/>
    <n v="1326627"/>
    <x v="1"/>
    <x v="30"/>
    <n v="3.3923303834808259E-2"/>
    <n v="0.94542772861356927"/>
    <n v="1.5332116714042456E-3"/>
    <s v="Moderate_Risk"/>
  </r>
  <r>
    <x v="57"/>
    <x v="57"/>
    <x v="51"/>
    <n v="1025"/>
    <n v="1257"/>
    <n v="1161348"/>
    <x v="2"/>
    <x v="25"/>
    <n v="1.468048359240069E-2"/>
    <n v="0.442573402417962"/>
    <n v="1.9942342863637774E-3"/>
    <s v="Low_Risk"/>
  </r>
  <r>
    <x v="58"/>
    <x v="58"/>
    <x v="52"/>
    <n v="6386"/>
    <n v="7933"/>
    <n v="115223736"/>
    <x v="2"/>
    <x v="5"/>
    <n v="1.5673334708187256E-2"/>
    <n v="0.43899085722142023"/>
    <n v="1.2625002890029533E-4"/>
    <s v="Low_Risk"/>
  </r>
  <r>
    <x v="59"/>
    <x v="59"/>
    <x v="19"/>
    <n v="18"/>
    <n v="9"/>
    <n v="897095"/>
    <x v="5"/>
    <x v="26"/>
    <n v="0"/>
    <n v="0.66666666666666663"/>
    <n v="3.0097146901944609E-5"/>
    <s v="Low_Risk"/>
  </r>
  <r>
    <x v="60"/>
    <x v="60"/>
    <x v="53"/>
    <n v="6920"/>
    <n v="149"/>
    <n v="5541604"/>
    <x v="1"/>
    <x v="21"/>
    <n v="4.4471478778048121E-2"/>
    <n v="0.93538794268721281"/>
    <n v="1.334992540066017E-3"/>
    <s v="Moderate_Risk"/>
  </r>
  <r>
    <x v="61"/>
    <x v="61"/>
    <x v="54"/>
    <n v="81212"/>
    <n v="108928"/>
    <n v="65288306"/>
    <x v="1"/>
    <x v="35"/>
    <n v="0.13710790008713331"/>
    <n v="0.36855576532094103"/>
    <n v="3.3750607650932158E-3"/>
    <s v="High_Risk"/>
  </r>
  <r>
    <x v="62"/>
    <x v="62"/>
    <x v="55"/>
    <n v="4682"/>
    <n v="2458"/>
    <n v="2230563"/>
    <x v="2"/>
    <x v="36"/>
    <n v="6.815968841285297E-3"/>
    <n v="0.65127277785505633"/>
    <n v="3.2229531288737417E-3"/>
    <s v="Low_Risk"/>
  </r>
  <r>
    <x v="63"/>
    <x v="63"/>
    <x v="56"/>
    <n v="66"/>
    <n v="252"/>
    <n v="2422754"/>
    <x v="2"/>
    <x v="13"/>
    <n v="2.4539877300613498E-2"/>
    <n v="0.20245398773006135"/>
    <n v="1.345576150116768E-4"/>
    <s v="Moderate_Risk"/>
  </r>
  <r>
    <x v="64"/>
    <x v="64"/>
    <x v="57"/>
    <n v="922"/>
    <n v="199"/>
    <n v="3988368"/>
    <x v="0"/>
    <x v="21"/>
    <n v="1.4072119613016711E-2"/>
    <n v="0.81090589270008795"/>
    <n v="2.8507900976038319E-4"/>
    <s v="Low_Risk"/>
  </r>
  <r>
    <x v="65"/>
    <x v="65"/>
    <x v="58"/>
    <n v="190314"/>
    <n v="7673"/>
    <n v="83811260"/>
    <x v="1"/>
    <x v="24"/>
    <n v="4.4058287303487965E-2"/>
    <n v="0.91889412491791878"/>
    <n v="2.4711715347078664E-3"/>
    <s v="Moderate_Risk"/>
  </r>
  <r>
    <x v="66"/>
    <x v="66"/>
    <x v="59"/>
    <n v="29801"/>
    <n v="3655"/>
    <n v="31133483"/>
    <x v="2"/>
    <x v="36"/>
    <n v="4.9964311206281229E-3"/>
    <n v="0.88630145134427785"/>
    <n v="1.0799948081620036E-3"/>
    <s v="Low_Risk"/>
  </r>
  <r>
    <x v="67"/>
    <x v="67"/>
    <x v="60"/>
    <n v="1374"/>
    <n v="2651"/>
    <n v="10417673"/>
    <x v="1"/>
    <x v="21"/>
    <n v="4.7788029335225926E-2"/>
    <n v="0.32505322924059615"/>
    <n v="4.0575280103339776E-4"/>
    <s v="Moderate_Risk"/>
  </r>
  <r>
    <x v="68"/>
    <x v="68"/>
    <x v="19"/>
    <n v="13"/>
    <n v="1"/>
    <n v="56780"/>
    <x v="3"/>
    <x v="12"/>
    <n v="0"/>
    <n v="0.9285714285714286"/>
    <n v="2.4656569214512151E-4"/>
    <s v="Low_Risk"/>
  </r>
  <r>
    <x v="69"/>
    <x v="69"/>
    <x v="19"/>
    <n v="23"/>
    <n v="0"/>
    <n v="112576"/>
    <x v="3"/>
    <x v="32"/>
    <n v="0"/>
    <n v="1"/>
    <n v="2.0430642410460489E-4"/>
    <s v="Low_Risk"/>
  </r>
  <r>
    <x v="70"/>
    <x v="70"/>
    <x v="61"/>
    <n v="32455"/>
    <n v="11093"/>
    <n v="17946899"/>
    <x v="3"/>
    <x v="5"/>
    <n v="3.8866450374097861E-2"/>
    <n v="0.71630360414045779"/>
    <n v="2.5246144194604318E-3"/>
    <s v="Moderate_Risk"/>
  </r>
  <r>
    <x v="71"/>
    <x v="71"/>
    <x v="62"/>
    <n v="6257"/>
    <n v="753"/>
    <n v="13164905"/>
    <x v="2"/>
    <x v="5"/>
    <n v="6.3784549964564135E-3"/>
    <n v="0.88688873139617297"/>
    <n v="5.3589448613567661E-4"/>
    <s v="Low_Risk"/>
  </r>
  <r>
    <x v="72"/>
    <x v="72"/>
    <x v="63"/>
    <n v="803"/>
    <n v="1125"/>
    <n v="1972277"/>
    <x v="2"/>
    <x v="37"/>
    <n v="1.3306038894575231E-2"/>
    <n v="0.41095189355168882"/>
    <n v="9.907330461187754E-4"/>
    <s v="Low_Risk"/>
  </r>
  <r>
    <x v="73"/>
    <x v="73"/>
    <x v="64"/>
    <n v="181"/>
    <n v="188"/>
    <n v="786936"/>
    <x v="4"/>
    <x v="36"/>
    <n v="5.1413881748071981E-2"/>
    <n v="0.4652956298200514"/>
    <n v="4.943222828794209E-4"/>
    <s v="High_Risk"/>
  </r>
  <r>
    <x v="74"/>
    <x v="74"/>
    <x v="65"/>
    <n v="4365"/>
    <n v="2817"/>
    <n v="11416103"/>
    <x v="3"/>
    <x v="26"/>
    <n v="2.1525885558583105E-2"/>
    <n v="0.59468664850136244"/>
    <n v="6.4295145199723587E-4"/>
    <s v="Moderate_Risk"/>
  </r>
  <r>
    <x v="75"/>
    <x v="75"/>
    <x v="19"/>
    <n v="12"/>
    <n v="0"/>
    <n v="528"/>
    <x v="1"/>
    <x v="32"/>
    <n v="0"/>
    <n v="1"/>
    <n v="2.2727272727272728E-2"/>
    <s v="Low_Risk"/>
  </r>
  <r>
    <x v="76"/>
    <x v="76"/>
    <x v="66"/>
    <n v="5039"/>
    <n v="33536"/>
    <n v="10012084"/>
    <x v="3"/>
    <x v="13"/>
    <n v="2.9339976346845827E-2"/>
    <n v="0.12679600412672051"/>
    <n v="3.9693034936582631E-3"/>
    <s v="Moderate_Risk"/>
  </r>
  <r>
    <x v="77"/>
    <x v="77"/>
    <x v="67"/>
    <n v="3329"/>
    <n v="523"/>
    <n v="9657785"/>
    <x v="1"/>
    <x v="38"/>
    <n v="0.13399280575539568"/>
    <n v="0.74842625899280579"/>
    <n v="4.6056109138896753E-4"/>
    <s v="High_Risk"/>
  </r>
  <r>
    <x v="78"/>
    <x v="78"/>
    <x v="68"/>
    <n v="1823"/>
    <n v="21"/>
    <n v="341465"/>
    <x v="1"/>
    <x v="9"/>
    <n v="5.3937432578209281E-3"/>
    <n v="0.98327939590075508"/>
    <n v="5.4295462199639788E-3"/>
    <s v="Low_Risk"/>
  </r>
  <r>
    <x v="79"/>
    <x v="79"/>
    <x v="69"/>
    <n v="951166"/>
    <n v="495499"/>
    <n v="1381344997"/>
    <x v="0"/>
    <x v="39"/>
    <n v="2.2571859631247918E-2"/>
    <n v="0.64264803154979522"/>
    <n v="1.0714723716482247E-3"/>
    <s v="Moderate_Risk"/>
  </r>
  <r>
    <x v="80"/>
    <x v="80"/>
    <x v="70"/>
    <n v="58173"/>
    <n v="37292"/>
    <n v="273808365"/>
    <x v="0"/>
    <x v="3"/>
    <n v="4.8233851430166598E-2"/>
    <n v="0.57997268277120329"/>
    <n v="3.6632555035343787E-4"/>
    <s v="Moderate_Risk"/>
  </r>
  <r>
    <x v="81"/>
    <x v="81"/>
    <x v="71"/>
    <n v="255144"/>
    <n v="22550"/>
    <n v="84097623"/>
    <x v="0"/>
    <x v="40"/>
    <n v="5.4195077757266542E-2"/>
    <n v="0.86900131468702957"/>
    <n v="3.4912520654715772E-3"/>
    <s v="High_Risk"/>
  </r>
  <r>
    <x v="82"/>
    <x v="82"/>
    <x v="72"/>
    <n v="77144"/>
    <n v="30983"/>
    <n v="40306025"/>
    <x v="0"/>
    <x v="41"/>
    <n v="3.9596749122884932E-2"/>
    <n v="0.68520673269085575"/>
    <n v="2.7932548545781927E-3"/>
    <s v="Moderate_Risk"/>
  </r>
  <r>
    <x v="83"/>
    <x v="83"/>
    <x v="73"/>
    <n v="23364"/>
    <n v="764"/>
    <n v="4943200"/>
    <x v="1"/>
    <x v="33"/>
    <n v="6.8129151861578863E-2"/>
    <n v="0.90236366445234051"/>
    <n v="5.2379025732319142E-3"/>
    <s v="High_Risk"/>
  </r>
  <r>
    <x v="84"/>
    <x v="84"/>
    <x v="74"/>
    <n v="27133"/>
    <n v="36378"/>
    <n v="9197590"/>
    <x v="0"/>
    <x v="11"/>
    <n v="7.407986246776588E-3"/>
    <n v="0.42405251230757207"/>
    <n v="6.9567136608611607E-3"/>
    <s v="Low_Risk"/>
  </r>
  <r>
    <x v="85"/>
    <x v="85"/>
    <x v="75"/>
    <n v="198593"/>
    <n v="12581"/>
    <n v="60452568"/>
    <x v="1"/>
    <x v="42"/>
    <n v="0.14256595990027854"/>
    <n v="0.80635115272488078"/>
    <n v="4.0740370202304726E-3"/>
    <s v="High_Risk"/>
  </r>
  <r>
    <x v="86"/>
    <x v="86"/>
    <x v="68"/>
    <n v="714"/>
    <n v="129"/>
    <n v="2962478"/>
    <x v="3"/>
    <x v="18"/>
    <n v="1.1723329425556858E-2"/>
    <n v="0.83704572098475971"/>
    <n v="2.8793462770018881E-4"/>
    <s v="Low_Risk"/>
  </r>
  <r>
    <x v="87"/>
    <x v="87"/>
    <x v="76"/>
    <n v="21970"/>
    <n v="8174"/>
    <n v="126435859"/>
    <x v="0"/>
    <x v="43"/>
    <n v="3.2046753580373774E-2"/>
    <n v="0.70547813242566304"/>
    <n v="2.4630670639094564E-4"/>
    <s v="Moderate_Risk"/>
  </r>
  <r>
    <x v="88"/>
    <x v="88"/>
    <x v="11"/>
    <n v="1041"/>
    <n v="124"/>
    <n v="10213138"/>
    <x v="0"/>
    <x v="3"/>
    <n v="9.3537414965986394E-3"/>
    <n v="0.88520408163265307"/>
    <n v="1.1514580533426651E-4"/>
    <s v="Low_Risk"/>
  </r>
  <r>
    <x v="89"/>
    <x v="89"/>
    <x v="77"/>
    <n v="54404"/>
    <n v="29659"/>
    <n v="18798667"/>
    <x v="0"/>
    <x v="5"/>
    <n v="6.9109724978735467E-3"/>
    <n v="0.64270862867403833"/>
    <n v="4.5028724643082409E-3"/>
    <s v="Low_Risk"/>
  </r>
  <r>
    <x v="90"/>
    <x v="90"/>
    <x v="78"/>
    <n v="7833"/>
    <n v="9857"/>
    <n v="53881160"/>
    <x v="2"/>
    <x v="5"/>
    <n v="1.5855354659248956E-2"/>
    <n v="0.4357719054242003"/>
    <n v="3.3360454748932648E-4"/>
    <s v="Low_Risk"/>
  </r>
  <r>
    <x v="91"/>
    <x v="91"/>
    <x v="79"/>
    <n v="4027"/>
    <n v="3201"/>
    <n v="1790152"/>
    <x v="1"/>
    <x v="5"/>
    <n v="2.4956158100634021E-2"/>
    <n v="0.54323485768244972"/>
    <n v="4.1409891450558392E-3"/>
    <s v="Moderate_Risk"/>
  </r>
  <r>
    <x v="92"/>
    <x v="92"/>
    <x v="80"/>
    <n v="55057"/>
    <n v="8884"/>
    <n v="4276658"/>
    <x v="0"/>
    <x v="0"/>
    <n v="6.8034607558365304E-3"/>
    <n v="0.85520123021482164"/>
    <n v="1.5053576881761413E-2"/>
    <s v="Low_Risk"/>
  </r>
  <r>
    <x v="93"/>
    <x v="93"/>
    <x v="81"/>
    <n v="21205"/>
    <n v="10790"/>
    <n v="6534479"/>
    <x v="0"/>
    <x v="31"/>
    <n v="3.9073762614127823E-2"/>
    <n v="0.63686328688130711"/>
    <n v="5.0954330100379842E-3"/>
    <s v="Moderate_Risk"/>
  </r>
  <r>
    <x v="94"/>
    <x v="94"/>
    <x v="19"/>
    <n v="19"/>
    <n v="1"/>
    <n v="7285750"/>
    <x v="0"/>
    <x v="44"/>
    <n v="0"/>
    <n v="0.95"/>
    <n v="2.7450845829187114E-6"/>
    <s v="Low_Risk"/>
  </r>
  <r>
    <x v="95"/>
    <x v="95"/>
    <x v="82"/>
    <n v="1045"/>
    <n v="143"/>
    <n v="1883936"/>
    <x v="1"/>
    <x v="3"/>
    <n v="2.5430680885972109E-2"/>
    <n v="0.85726004922067267"/>
    <n v="6.4704958130212494E-4"/>
    <s v="Moderate_Risk"/>
  </r>
  <r>
    <x v="96"/>
    <x v="96"/>
    <x v="49"/>
    <n v="1709"/>
    <n v="2122"/>
    <n v="6822220"/>
    <x v="0"/>
    <x v="11"/>
    <n v="1.3137557959814529E-2"/>
    <n v="0.44023699124162802"/>
    <n v="5.6902298665243865E-4"/>
    <s v="Low_Risk"/>
  </r>
  <r>
    <x v="97"/>
    <x v="97"/>
    <x v="83"/>
    <n v="128"/>
    <n v="365"/>
    <n v="2143943"/>
    <x v="2"/>
    <x v="45"/>
    <n v="2.3762376237623763E-2"/>
    <n v="0.25346534653465347"/>
    <n v="2.3554730699463559E-4"/>
    <s v="Moderate_Risk"/>
  </r>
  <r>
    <x v="98"/>
    <x v="98"/>
    <x v="84"/>
    <n v="646"/>
    <n v="449"/>
    <n v="5068618"/>
    <x v="2"/>
    <x v="16"/>
    <n v="6.1696658097686374E-2"/>
    <n v="0.55355612682090827"/>
    <n v="2.3024027456793942E-4"/>
    <s v="High_Risk"/>
  </r>
  <r>
    <x v="99"/>
    <x v="99"/>
    <x v="85"/>
    <n v="577"/>
    <n v="2186"/>
    <n v="6880353"/>
    <x v="2"/>
    <x v="44"/>
    <n v="2.2638839759462327E-2"/>
    <n v="0.20410328970640254"/>
    <n v="4.1088008129815432E-4"/>
    <s v="Moderate_Risk"/>
  </r>
  <r>
    <x v="100"/>
    <x v="5"/>
    <x v="26"/>
    <n v="81"/>
    <n v="4"/>
    <n v="38139"/>
    <x v="1"/>
    <x v="6"/>
    <n v="1.1627906976744186E-2"/>
    <n v="0.94186046511627908"/>
    <n v="2.2549096725136999E-3"/>
    <s v="Low_Risk"/>
  </r>
  <r>
    <x v="101"/>
    <x v="100"/>
    <x v="86"/>
    <n v="1620"/>
    <n v="319"/>
    <n v="2718121"/>
    <x v="1"/>
    <x v="9"/>
    <n v="3.9623576027736501E-2"/>
    <n v="0.80237741456166423"/>
    <n v="7.4279253940497862E-4"/>
    <s v="Moderate_Risk"/>
  </r>
  <r>
    <x v="102"/>
    <x v="101"/>
    <x v="87"/>
    <n v="4825"/>
    <n v="1384"/>
    <n v="626952"/>
    <x v="1"/>
    <x v="33"/>
    <n v="1.7718715393133997E-2"/>
    <n v="0.763328587248853"/>
    <n v="1.0082111549209509E-2"/>
    <s v="Low_Risk"/>
  </r>
  <r>
    <x v="103"/>
    <x v="102"/>
    <x v="88"/>
    <n v="6260"/>
    <n v="3339"/>
    <n v="27755708"/>
    <x v="2"/>
    <x v="23"/>
    <n v="9.3911248710010324E-3"/>
    <n v="0.6460268317853457"/>
    <n v="3.491173779461868E-4"/>
    <s v="Low_Risk"/>
  </r>
  <r>
    <x v="104"/>
    <x v="103"/>
    <x v="89"/>
    <n v="1645"/>
    <n v="1920"/>
    <n v="19174839"/>
    <x v="2"/>
    <x v="46"/>
    <n v="2.7019650655021835E-2"/>
    <n v="0.44896288209606988"/>
    <n v="1.910837426066524E-4"/>
    <s v="Moderate_Risk"/>
  </r>
  <r>
    <x v="105"/>
    <x v="104"/>
    <x v="90"/>
    <n v="8601"/>
    <n v="179"/>
    <n v="32406372"/>
    <x v="0"/>
    <x v="8"/>
    <n v="1.3926325247079964E-2"/>
    <n v="0.96597035040431267"/>
    <n v="2.7476077852837093E-4"/>
    <s v="Low_Risk"/>
  </r>
  <r>
    <x v="106"/>
    <x v="105"/>
    <x v="91"/>
    <n v="2547"/>
    <n v="807"/>
    <n v="541448"/>
    <x v="0"/>
    <x v="47"/>
    <n v="4.4523597506678537E-3"/>
    <n v="0.75601068566340157"/>
    <n v="6.2222041636500643E-3"/>
    <s v="Low_Risk"/>
  </r>
  <r>
    <x v="107"/>
    <x v="106"/>
    <x v="90"/>
    <n v="1913"/>
    <n v="476"/>
    <n v="20302901"/>
    <x v="2"/>
    <x v="37"/>
    <n v="4.9343414245921209E-2"/>
    <n v="0.76124154397134902"/>
    <n v="1.2377541514880066E-4"/>
    <s v="Moderate_Risk"/>
  </r>
  <r>
    <x v="108"/>
    <x v="107"/>
    <x v="92"/>
    <n v="665"/>
    <n v="27"/>
    <n v="441663"/>
    <x v="1"/>
    <x v="47"/>
    <n v="1.2838801711840228E-2"/>
    <n v="0.94864479315263905"/>
    <n v="1.5871829879342395E-3"/>
    <s v="Low_Risk"/>
  </r>
  <r>
    <x v="109"/>
    <x v="108"/>
    <x v="93"/>
    <n v="4653"/>
    <n v="1399"/>
    <n v="4660728"/>
    <x v="2"/>
    <x v="5"/>
    <n v="2.5128865979381444E-2"/>
    <n v="0.74951675257731953"/>
    <n v="1.3319807549378553E-3"/>
    <s v="Moderate_Risk"/>
  </r>
  <r>
    <x v="110"/>
    <x v="109"/>
    <x v="68"/>
    <n v="332"/>
    <n v="2"/>
    <n v="1271985"/>
    <x v="2"/>
    <x v="31"/>
    <n v="2.9069767441860465E-2"/>
    <n v="0.96511627906976749"/>
    <n v="2.7044344076384549E-4"/>
    <s v="Moderate_Risk"/>
  </r>
  <r>
    <x v="111"/>
    <x v="110"/>
    <x v="94"/>
    <n v="303810"/>
    <n v="47657"/>
    <n v="129066160"/>
    <x v="3"/>
    <x v="9"/>
    <n v="0.11131030193001576"/>
    <n v="0.7681882429094109"/>
    <n v="3.0642346529872739E-3"/>
    <s v="High_Risk"/>
  </r>
  <r>
    <x v="112"/>
    <x v="111"/>
    <x v="95"/>
    <n v="16154"/>
    <n v="6252"/>
    <n v="4032983"/>
    <x v="1"/>
    <x v="47"/>
    <n v="3.2305433186490456E-2"/>
    <n v="0.69767642739915348"/>
    <n v="5.7411598313208854E-3"/>
    <s v="Moderate_Risk"/>
  </r>
  <r>
    <x v="113"/>
    <x v="112"/>
    <x v="96"/>
    <n v="104"/>
    <n v="8"/>
    <n v="39270"/>
    <x v="1"/>
    <x v="33"/>
    <n v="3.4482758620689655E-2"/>
    <n v="0.89655172413793105"/>
    <n v="2.9539088362617776E-3"/>
    <s v="Moderate_Risk"/>
  </r>
  <r>
    <x v="114"/>
    <x v="113"/>
    <x v="19"/>
    <n v="222"/>
    <n v="67"/>
    <n v="3283344"/>
    <x v="0"/>
    <x v="18"/>
    <n v="0"/>
    <n v="0.76816608996539792"/>
    <n v="8.8020018615167948E-5"/>
    <s v="Low_Risk"/>
  </r>
  <r>
    <x v="115"/>
    <x v="114"/>
    <x v="62"/>
    <n v="809"/>
    <n v="2039"/>
    <n v="628074"/>
    <x v="1"/>
    <x v="13"/>
    <n v="1.5554787417905289E-2"/>
    <n v="0.27964051157967507"/>
    <n v="4.6061451357642573E-3"/>
    <s v="Low_Risk"/>
  </r>
  <r>
    <x v="116"/>
    <x v="115"/>
    <x v="97"/>
    <n v="16553"/>
    <n v="4018"/>
    <n v="36953359"/>
    <x v="2"/>
    <x v="3"/>
    <n v="1.5129027624838417E-2"/>
    <n v="0.79250251352515921"/>
    <n v="5.6522601910153822E-4"/>
    <s v="Low_Risk"/>
  </r>
  <r>
    <x v="117"/>
    <x v="116"/>
    <x v="11"/>
    <n v="0"/>
    <n v="1690"/>
    <n v="31333962"/>
    <x v="2"/>
    <x v="32"/>
    <n v="6.4667842445620223E-3"/>
    <n v="0"/>
    <n v="5.4286144854583022E-5"/>
    <s v="Low_Risk"/>
  </r>
  <r>
    <x v="118"/>
    <x v="117"/>
    <x v="56"/>
    <n v="101"/>
    <n v="1734"/>
    <n v="2545264"/>
    <x v="2"/>
    <x v="25"/>
    <n v="4.3407487791644059E-3"/>
    <n v="5.4801953336950621E-2"/>
    <n v="7.2408991758811663E-4"/>
    <s v="Low_Risk"/>
  </r>
  <r>
    <x v="119"/>
    <x v="118"/>
    <x v="98"/>
    <n v="13754"/>
    <n v="4950"/>
    <n v="29186486"/>
    <x v="0"/>
    <x v="48"/>
    <n v="2.5597269624573378E-3"/>
    <n v="0.73346843003412965"/>
    <n v="6.4248913007204774E-4"/>
    <s v="Low_Risk"/>
  </r>
  <r>
    <x v="120"/>
    <x v="119"/>
    <x v="99"/>
    <n v="189"/>
    <n v="47064"/>
    <n v="17138756"/>
    <x v="1"/>
    <x v="30"/>
    <n v="0.11532772920450078"/>
    <n v="3.5384644187744555E-3"/>
    <n v="3.1165039049508613E-3"/>
    <s v="High_Risk"/>
  </r>
  <r>
    <x v="121"/>
    <x v="120"/>
    <x v="27"/>
    <n v="1514"/>
    <n v="21"/>
    <n v="5002100"/>
    <x v="5"/>
    <x v="9"/>
    <n v="1.4129736673089274E-2"/>
    <n v="0.97238278741168915"/>
    <n v="3.112692669078987E-4"/>
    <s v="Low_Risk"/>
  </r>
  <r>
    <x v="122"/>
    <x v="121"/>
    <x v="100"/>
    <n v="2492"/>
    <n v="839"/>
    <n v="6632263"/>
    <x v="3"/>
    <x v="31"/>
    <n v="3.1404478045943589E-2"/>
    <n v="0.72462925268973544"/>
    <n v="5.1852587872344626E-4"/>
    <s v="Moderate_Risk"/>
  </r>
  <r>
    <x v="123"/>
    <x v="122"/>
    <x v="50"/>
    <n v="1027"/>
    <n v="36"/>
    <n v="24281433"/>
    <x v="2"/>
    <x v="26"/>
    <n v="6.0954063604240286E-2"/>
    <n v="0.90724381625441697"/>
    <n v="4.6619983260460779E-5"/>
    <s v="High_Risk"/>
  </r>
  <r>
    <x v="124"/>
    <x v="123"/>
    <x v="101"/>
    <n v="18203"/>
    <n v="22117"/>
    <n v="206606300"/>
    <x v="2"/>
    <x v="30"/>
    <n v="2.0883924235065566E-2"/>
    <n v="0.44203496843127732"/>
    <n v="1.9931628415977636E-4"/>
    <s v="Moderate_Risk"/>
  </r>
  <r>
    <x v="125"/>
    <x v="124"/>
    <x v="102"/>
    <n v="5564"/>
    <n v="4183"/>
    <n v="2083365"/>
    <x v="1"/>
    <x v="21"/>
    <n v="4.5628121022226575E-2"/>
    <n v="0.54479584842847351"/>
    <n v="4.9021654870845966E-3"/>
    <s v="Moderate_Risk"/>
  </r>
  <r>
    <x v="126"/>
    <x v="125"/>
    <x v="103"/>
    <n v="8752"/>
    <n v="125"/>
    <n v="5425471"/>
    <x v="1"/>
    <x v="21"/>
    <n v="2.7923784494086726E-2"/>
    <n v="0.95838808585194923"/>
    <n v="1.6831718389057834E-3"/>
    <s v="Moderate_Risk"/>
  </r>
  <r>
    <x v="127"/>
    <x v="126"/>
    <x v="104"/>
    <n v="57028"/>
    <n v="19637"/>
    <n v="5118446"/>
    <x v="0"/>
    <x v="0"/>
    <n v="5.1000545043992833E-3"/>
    <n v="0.74006592436865737"/>
    <n v="1.5054960040606075E-2"/>
    <s v="Low_Risk"/>
  </r>
  <r>
    <x v="128"/>
    <x v="127"/>
    <x v="105"/>
    <n v="241026"/>
    <n v="27421"/>
    <n v="221295851"/>
    <x v="0"/>
    <x v="21"/>
    <n v="2.1298703192618004E-2"/>
    <n v="0.8787300985456945"/>
    <n v="1.2394674313166406E-3"/>
    <s v="Moderate_Risk"/>
  </r>
  <r>
    <x v="129"/>
    <x v="128"/>
    <x v="106"/>
    <n v="35086"/>
    <n v="25034"/>
    <n v="5112340"/>
    <x v="0"/>
    <x v="1"/>
    <n v="2.1516226685329255E-2"/>
    <n v="0.57104260929006212"/>
    <n v="1.2018371235089998E-2"/>
    <s v="Moderate_Risk"/>
  </r>
  <r>
    <x v="130"/>
    <x v="129"/>
    <x v="19"/>
    <n v="11"/>
    <n v="51"/>
    <n v="8963009"/>
    <x v="5"/>
    <x v="23"/>
    <n v="0"/>
    <n v="0.17741935483870969"/>
    <n v="6.9173198420307291E-6"/>
    <s v="Low_Risk"/>
  </r>
  <r>
    <x v="131"/>
    <x v="130"/>
    <x v="107"/>
    <n v="2905"/>
    <n v="1600"/>
    <n v="7141091"/>
    <x v="4"/>
    <x v="47"/>
    <n v="9.4547053649956022E-3"/>
    <n v="0.63874230430958667"/>
    <n v="6.368774743243014E-4"/>
    <s v="Low_Risk"/>
  </r>
  <r>
    <x v="132"/>
    <x v="131"/>
    <x v="108"/>
    <n v="272547"/>
    <n v="98752"/>
    <n v="33016319"/>
    <x v="4"/>
    <x v="17"/>
    <n v="4.7259934773181564E-2"/>
    <n v="0.69934593564047753"/>
    <n v="1.180376891803111E-2"/>
    <s v="Moderate_Risk"/>
  </r>
  <r>
    <x v="133"/>
    <x v="132"/>
    <x v="109"/>
    <n v="26446"/>
    <n v="53649"/>
    <n v="109722719"/>
    <x v="0"/>
    <x v="39"/>
    <n v="2.370794734275963E-2"/>
    <n v="0.32235494880546073"/>
    <n v="7.4770294381786148E-4"/>
    <s v="Moderate_Risk"/>
  </r>
  <r>
    <x v="134"/>
    <x v="133"/>
    <x v="110"/>
    <n v="32856"/>
    <n v="8870"/>
    <n v="37842302"/>
    <x v="1"/>
    <x v="38"/>
    <n v="3.8615731993917331E-2"/>
    <n v="0.75701580572323857"/>
    <n v="1.1469175421727779E-3"/>
    <s v="Moderate_Risk"/>
  </r>
  <r>
    <x v="135"/>
    <x v="134"/>
    <x v="111"/>
    <n v="35375"/>
    <n v="13205"/>
    <n v="10193593"/>
    <x v="1"/>
    <x v="3"/>
    <n v="3.4175629734189548E-2"/>
    <n v="0.70329430008548877"/>
    <n v="4.9343739739265632E-3"/>
    <s v="Moderate_Risk"/>
  </r>
  <r>
    <x v="136"/>
    <x v="135"/>
    <x v="112"/>
    <n v="106328"/>
    <n v="3104"/>
    <n v="2807805"/>
    <x v="0"/>
    <x v="30"/>
    <n v="1.5055156619250528E-3"/>
    <n v="0.97017254121919394"/>
    <n v="3.9032981278970584E-2"/>
    <s v="Low_Risk"/>
  </r>
  <r>
    <x v="137"/>
    <x v="136"/>
    <x v="113"/>
    <n v="25794"/>
    <n v="17902"/>
    <n v="19224023"/>
    <x v="1"/>
    <x v="21"/>
    <n v="4.805890810857915E-2"/>
    <n v="0.56193629907193587"/>
    <n v="2.3877416293145303E-3"/>
    <s v="Moderate_Risk"/>
  </r>
  <r>
    <x v="138"/>
    <x v="137"/>
    <x v="114"/>
    <n v="602249"/>
    <n v="201097"/>
    <n v="145940924"/>
    <x v="1"/>
    <x v="42"/>
    <n v="1.6327080374197972E-2"/>
    <n v="0.73743571533525987"/>
    <n v="5.5959629253820543E-3"/>
    <s v="Low_Risk"/>
  </r>
  <r>
    <x v="139"/>
    <x v="138"/>
    <x v="115"/>
    <n v="975"/>
    <n v="899"/>
    <n v="12981546"/>
    <x v="2"/>
    <x v="25"/>
    <n v="2.6609898882384245E-3"/>
    <n v="0.51889302820649286"/>
    <n v="1.4474393111575461E-4"/>
    <s v="Low_Risk"/>
  </r>
  <r>
    <x v="140"/>
    <x v="139"/>
    <x v="19"/>
    <n v="15"/>
    <n v="2"/>
    <n v="53237"/>
    <x v="3"/>
    <x v="44"/>
    <n v="0"/>
    <n v="0.88235294117647056"/>
    <n v="3.1932678400360654E-4"/>
    <s v="Low_Risk"/>
  </r>
  <r>
    <x v="141"/>
    <x v="140"/>
    <x v="19"/>
    <n v="22"/>
    <n v="2"/>
    <n v="183712"/>
    <x v="3"/>
    <x v="5"/>
    <n v="0"/>
    <n v="0.91666666666666663"/>
    <n v="1.306392614527086E-4"/>
    <s v="Low_Risk"/>
  </r>
  <r>
    <x v="142"/>
    <x v="141"/>
    <x v="19"/>
    <n v="39"/>
    <n v="13"/>
    <n v="104000"/>
    <x v="3"/>
    <x v="29"/>
    <n v="0"/>
    <n v="0.75"/>
    <n v="5.0000000000000001E-4"/>
    <s v="Low_Risk"/>
  </r>
  <r>
    <x v="143"/>
    <x v="142"/>
    <x v="116"/>
    <n v="657"/>
    <n v="0"/>
    <n v="33938"/>
    <x v="1"/>
    <x v="30"/>
    <n v="6.0085836909871244E-2"/>
    <n v="0.93991416309012876"/>
    <n v="2.0596381637102954E-2"/>
    <s v="High_Risk"/>
  </r>
  <r>
    <x v="144"/>
    <x v="143"/>
    <x v="117"/>
    <n v="734"/>
    <n v="117"/>
    <n v="219544"/>
    <x v="2"/>
    <x v="49"/>
    <n v="1.6184971098265895E-2"/>
    <n v="0.84855491329479771"/>
    <n v="3.9399846955507781E-3"/>
    <s v="Low_Risk"/>
  </r>
  <r>
    <x v="145"/>
    <x v="144"/>
    <x v="118"/>
    <n v="222936"/>
    <n v="43238"/>
    <n v="34865919"/>
    <x v="0"/>
    <x v="3"/>
    <n v="1.0262741044271086E-2"/>
    <n v="0.8289617526976879"/>
    <n v="7.7133776396371484E-3"/>
    <s v="Low_Risk"/>
  </r>
  <r>
    <x v="146"/>
    <x v="145"/>
    <x v="119"/>
    <n v="6477"/>
    <n v="3093"/>
    <n v="16783877"/>
    <x v="2"/>
    <x v="3"/>
    <n v="1.9868906185989348E-2"/>
    <n v="0.66335518230233514"/>
    <n v="5.8174878188156404E-4"/>
    <s v="Low_Risk"/>
  </r>
  <r>
    <x v="147"/>
    <x v="146"/>
    <x v="120"/>
    <n v="0"/>
    <n v="23598"/>
    <n v="8733665"/>
    <x v="1"/>
    <x v="17"/>
    <n v="2.2492854479930408E-2"/>
    <n v="0"/>
    <n v="2.7641316675187334E-3"/>
    <s v="Moderate_Risk"/>
  </r>
  <r>
    <x v="148"/>
    <x v="147"/>
    <x v="19"/>
    <n v="39"/>
    <n v="75"/>
    <n v="98408"/>
    <x v="2"/>
    <x v="25"/>
    <n v="0"/>
    <n v="0.34210526315789475"/>
    <n v="1.158442403056662E-3"/>
    <s v="Low_Risk"/>
  </r>
  <r>
    <x v="149"/>
    <x v="148"/>
    <x v="121"/>
    <n v="1317"/>
    <n v="400"/>
    <n v="7992169"/>
    <x v="2"/>
    <x v="22"/>
    <n v="3.7016264722378012E-2"/>
    <n v="0.73864273696017946"/>
    <n v="2.230933805328691E-4"/>
    <s v="Moderate_Risk"/>
  </r>
  <r>
    <x v="150"/>
    <x v="149"/>
    <x v="122"/>
    <n v="45692"/>
    <n v="5119"/>
    <n v="5854932"/>
    <x v="0"/>
    <x v="50"/>
    <n v="5.3109878437389356E-4"/>
    <n v="0.89877650576340529"/>
    <n v="8.6829360272672688E-3"/>
    <s v="Low_Risk"/>
  </r>
  <r>
    <x v="151"/>
    <x v="150"/>
    <x v="123"/>
    <n v="1616"/>
    <n v="537"/>
    <n v="5459915"/>
    <x v="1"/>
    <x v="17"/>
    <n v="1.2838147638697846E-2"/>
    <n v="0.74094452086198992"/>
    <n v="3.994567680998697E-4"/>
    <s v="Low_Risk"/>
  </r>
  <r>
    <x v="152"/>
    <x v="151"/>
    <x v="124"/>
    <n v="1733"/>
    <n v="238"/>
    <n v="2078968"/>
    <x v="1"/>
    <x v="38"/>
    <n v="5.558217537134643E-2"/>
    <n v="0.83037853378054627"/>
    <n v="1.0038634553297598E-3"/>
    <s v="High_Risk"/>
  </r>
  <r>
    <x v="153"/>
    <x v="152"/>
    <x v="125"/>
    <n v="1543"/>
    <n v="1560"/>
    <n v="15933012"/>
    <x v="2"/>
    <x v="16"/>
    <n v="2.9098873591989989E-2"/>
    <n v="0.48279098873591991"/>
    <n v="2.0058981942648382E-4"/>
    <s v="Moderate_Risk"/>
  </r>
  <r>
    <x v="154"/>
    <x v="153"/>
    <x v="126"/>
    <n v="274925"/>
    <n v="170537"/>
    <n v="59381566"/>
    <x v="2"/>
    <x v="19"/>
    <n v="1.5616678710093718E-2"/>
    <n v="0.60753012514115112"/>
    <n v="7.6206983157028904E-3"/>
    <s v="Low_Risk"/>
  </r>
  <r>
    <x v="155"/>
    <x v="154"/>
    <x v="127"/>
    <n v="13007"/>
    <n v="896"/>
    <n v="51273732"/>
    <x v="0"/>
    <x v="51"/>
    <n v="2.1122298106033936E-2"/>
    <n v="0.91579243821727807"/>
    <n v="2.7700343715959667E-4"/>
    <s v="Moderate_Risk"/>
  </r>
  <r>
    <x v="156"/>
    <x v="155"/>
    <x v="128"/>
    <n v="1175"/>
    <n v="1084"/>
    <n v="11206572"/>
    <x v="2"/>
    <x v="52"/>
    <n v="1.9956616052060738E-2"/>
    <n v="0.50976138828633411"/>
    <n v="2.0568287965311784E-4"/>
    <s v="Low_Risk"/>
  </r>
  <r>
    <x v="157"/>
    <x v="156"/>
    <x v="129"/>
    <n v="150376"/>
    <n v="93613"/>
    <n v="46756648"/>
    <x v="1"/>
    <x v="42"/>
    <n v="0.10436787178668311"/>
    <n v="0.55199856105072664"/>
    <n v="5.8263586388827534E-3"/>
    <s v="High_Risk"/>
  </r>
  <r>
    <x v="158"/>
    <x v="157"/>
    <x v="11"/>
    <n v="2121"/>
    <n v="673"/>
    <n v="21422362"/>
    <x v="0"/>
    <x v="24"/>
    <n v="3.9215686274509803E-3"/>
    <n v="0.75614973262032081"/>
    <n v="1.3093794232400704E-4"/>
    <s v="Low_Risk"/>
  </r>
  <r>
    <x v="159"/>
    <x v="158"/>
    <x v="130"/>
    <n v="5939"/>
    <n v="4765"/>
    <n v="43943536"/>
    <x v="2"/>
    <x v="5"/>
    <n v="6.3025210084033612E-2"/>
    <n v="0.51987044817927175"/>
    <n v="2.5996997601649536E-4"/>
    <s v="High_Risk"/>
  </r>
  <r>
    <x v="160"/>
    <x v="159"/>
    <x v="131"/>
    <n v="925"/>
    <n v="534"/>
    <n v="587154"/>
    <x v="4"/>
    <x v="5"/>
    <n v="1.6183412002697236E-2"/>
    <n v="0.62373567093728932"/>
    <n v="2.5257428204525558E-3"/>
    <s v="Low_Risk"/>
  </r>
  <r>
    <x v="161"/>
    <x v="160"/>
    <x v="132"/>
    <n v="0"/>
    <n v="73695"/>
    <n v="10105596"/>
    <x v="1"/>
    <x v="42"/>
    <n v="7.1792934063857922E-2"/>
    <n v="0"/>
    <n v="7.8565381002763217E-3"/>
    <s v="High_Risk"/>
  </r>
  <r>
    <x v="162"/>
    <x v="161"/>
    <x v="133"/>
    <n v="30900"/>
    <n v="1599"/>
    <n v="8660952"/>
    <x v="1"/>
    <x v="2"/>
    <n v="5.7371581054036024E-2"/>
    <n v="0.89624967369550712"/>
    <n v="3.9807402234765879E-3"/>
    <s v="High_Risk"/>
  </r>
  <r>
    <x v="163"/>
    <x v="162"/>
    <x v="134"/>
    <n v="0"/>
    <n v="634"/>
    <n v="17539600"/>
    <x v="0"/>
    <x v="32"/>
    <n v="5.9347181008902079E-2"/>
    <n v="0"/>
    <n v="3.8427330155761816E-5"/>
    <s v="High_Risk"/>
  </r>
  <r>
    <x v="164"/>
    <x v="163"/>
    <x v="14"/>
    <n v="440"/>
    <n v="15"/>
    <n v="23821199"/>
    <x v="0"/>
    <x v="53"/>
    <n v="1.5151515151515152E-2"/>
    <n v="0.95238095238095233"/>
    <n v="1.9394489756791838E-5"/>
    <s v="Low_Risk"/>
  </r>
  <r>
    <x v="165"/>
    <x v="164"/>
    <x v="135"/>
    <n v="6028"/>
    <n v="1147"/>
    <n v="9557468"/>
    <x v="0"/>
    <x v="28"/>
    <n v="8.2930200414651004E-3"/>
    <n v="0.83317208016586042"/>
    <n v="7.569996572313922E-4"/>
    <s v="Low_Risk"/>
  </r>
  <r>
    <x v="166"/>
    <x v="165"/>
    <x v="136"/>
    <n v="183"/>
    <n v="305"/>
    <n v="59886383"/>
    <x v="2"/>
    <x v="16"/>
    <n v="4.1257367387033402E-2"/>
    <n v="0.35952848722986247"/>
    <n v="8.4994279918358071E-6"/>
    <s v="Moderate_Risk"/>
  </r>
  <r>
    <x v="167"/>
    <x v="166"/>
    <x v="44"/>
    <n v="3111"/>
    <n v="128"/>
    <n v="69817894"/>
    <x v="0"/>
    <x v="48"/>
    <n v="1.7591750075826508E-2"/>
    <n v="0.94358507734303909"/>
    <n v="4.7222850921283877E-5"/>
    <s v="Low_Risk"/>
  </r>
  <r>
    <x v="168"/>
    <x v="140"/>
    <x v="19"/>
    <n v="0"/>
    <n v="24"/>
    <n v="1320812"/>
    <x v="0"/>
    <x v="4"/>
    <n v="0"/>
    <n v="0"/>
    <n v="1.8170640484792688E-5"/>
    <s v="Low_Risk"/>
  </r>
  <r>
    <x v="169"/>
    <x v="167"/>
    <x v="137"/>
    <n v="607"/>
    <n v="249"/>
    <n v="8296582"/>
    <x v="2"/>
    <x v="17"/>
    <n v="2.0594965675057208E-2"/>
    <n v="0.69450800915331812"/>
    <n v="1.0534458648151732E-4"/>
    <s v="Moderate_Risk"/>
  </r>
  <r>
    <x v="170"/>
    <x v="168"/>
    <x v="56"/>
    <n v="128"/>
    <n v="12"/>
    <n v="1399950"/>
    <x v="3"/>
    <x v="36"/>
    <n v="5.4054054054054057E-2"/>
    <n v="0.86486486486486491"/>
    <n v="1.0571806135933426E-4"/>
    <s v="High_Risk"/>
  </r>
  <r>
    <x v="171"/>
    <x v="169"/>
    <x v="138"/>
    <n v="1157"/>
    <n v="248"/>
    <n v="11830801"/>
    <x v="2"/>
    <x v="3"/>
    <n v="3.4364261168384883E-2"/>
    <n v="0.79518900343642607"/>
    <n v="1.2298406506879795E-4"/>
    <s v="Moderate_Risk"/>
  </r>
  <r>
    <x v="172"/>
    <x v="170"/>
    <x v="139"/>
    <n v="210469"/>
    <n v="10920"/>
    <n v="84428331"/>
    <x v="0"/>
    <x v="29"/>
    <n v="2.4799686369863315E-2"/>
    <n v="0.92709861289143203"/>
    <n v="2.6888959820844972E-3"/>
    <s v="Moderate_Risk"/>
  </r>
  <r>
    <x v="173"/>
    <x v="171"/>
    <x v="140"/>
    <n v="1325804"/>
    <n v="2816444"/>
    <n v="331198130"/>
    <x v="3"/>
    <x v="53"/>
    <n v="3.4499315775574385E-2"/>
    <n v="0.30902656459668287"/>
    <n v="1.2953753694201112E-2"/>
    <s v="Moderate_Risk"/>
  </r>
  <r>
    <x v="174"/>
    <x v="172"/>
    <x v="17"/>
    <n v="986"/>
    <n v="140"/>
    <n v="45867852"/>
    <x v="2"/>
    <x v="32"/>
    <n v="1.7730496453900709E-3"/>
    <n v="0.87411347517730498"/>
    <n v="2.4592387714166339E-5"/>
    <s v="Low_Risk"/>
  </r>
  <r>
    <x v="175"/>
    <x v="173"/>
    <x v="141"/>
    <n v="37202"/>
    <n v="28258"/>
    <n v="43705858"/>
    <x v="1"/>
    <x v="6"/>
    <n v="2.4382973649695959E-2"/>
    <n v="0.55445928222248719"/>
    <n v="1.5351717840661086E-3"/>
    <s v="Moderate_Risk"/>
  </r>
  <r>
    <x v="176"/>
    <x v="174"/>
    <x v="142"/>
    <n v="52510"/>
    <n v="6322"/>
    <n v="9902079"/>
    <x v="0"/>
    <x v="54"/>
    <n v="5.8299677239468037E-3"/>
    <n v="0.88733798604187442"/>
    <n v="5.9762197413290681E-3"/>
    <s v="Low_Risk"/>
  </r>
  <r>
    <x v="177"/>
    <x v="175"/>
    <x v="143"/>
    <n v="1437"/>
    <n v="254427"/>
    <n v="67922029"/>
    <x v="1"/>
    <x v="42"/>
    <n v="0.15194824134593712"/>
    <n v="4.7628833176448756E-3"/>
    <n v="4.4419756659507328E-3"/>
    <s v="High_Risk"/>
  </r>
  <r>
    <x v="178"/>
    <x v="176"/>
    <x v="18"/>
    <n v="951"/>
    <n v="216"/>
    <n v="3474956"/>
    <x v="4"/>
    <x v="5"/>
    <n v="2.9118136439267885E-2"/>
    <n v="0.79118136439267883"/>
    <n v="3.4590366036289381E-4"/>
    <s v="Moderate_Risk"/>
  </r>
  <r>
    <x v="179"/>
    <x v="177"/>
    <x v="144"/>
    <n v="11674"/>
    <n v="9414"/>
    <n v="33516027"/>
    <x v="0"/>
    <x v="10"/>
    <n v="5.7051251827054551E-3"/>
    <n v="0.55042670564383045"/>
    <n v="6.3280173392866643E-4"/>
    <s v="Low_Risk"/>
  </r>
  <r>
    <x v="180"/>
    <x v="178"/>
    <x v="145"/>
    <n v="9959"/>
    <n v="5883"/>
    <n v="28427499"/>
    <x v="4"/>
    <x v="5"/>
    <n v="9.1318488866649981E-3"/>
    <n v="0.62290467850888165"/>
    <n v="5.624131760588577E-4"/>
    <s v="Low_Risk"/>
  </r>
  <r>
    <x v="181"/>
    <x v="179"/>
    <x v="19"/>
    <n v="365"/>
    <n v="66"/>
    <n v="97425470"/>
    <x v="0"/>
    <x v="50"/>
    <n v="0"/>
    <n v="0.84686774941995357"/>
    <n v="4.4238944908348918E-6"/>
    <s v="Low_Risk"/>
  </r>
  <r>
    <x v="182"/>
    <x v="25"/>
    <x v="146"/>
    <n v="3752"/>
    <n v="6791"/>
    <n v="4800000"/>
    <x v="0"/>
    <x v="19"/>
    <n v="7.3439412484700125E-3"/>
    <n v="0.35326240466999342"/>
    <n v="2.2127083333333335E-3"/>
    <s v="Low_Risk"/>
  </r>
  <r>
    <x v="183"/>
    <x v="180"/>
    <x v="26"/>
    <n v="8"/>
    <n v="1"/>
    <n v="598682"/>
    <x v="2"/>
    <x v="55"/>
    <n v="0.1"/>
    <n v="0.8"/>
    <n v="1.6703358377235327E-5"/>
    <s v="High_Risk"/>
  </r>
  <r>
    <x v="184"/>
    <x v="181"/>
    <x v="147"/>
    <n v="833"/>
    <n v="375"/>
    <n v="29886897"/>
    <x v="0"/>
    <x v="56"/>
    <n v="0.28562980484920164"/>
    <n v="0.49260792430514488"/>
    <n v="5.6579978844909859E-5"/>
    <s v="High_Risk"/>
  </r>
  <r>
    <x v="185"/>
    <x v="182"/>
    <x v="148"/>
    <n v="2815"/>
    <n v="1597"/>
    <n v="18430129"/>
    <x v="2"/>
    <x v="31"/>
    <n v="3.0755711775043937E-2"/>
    <n v="0.61840949033391912"/>
    <n v="2.4698687676033088E-4"/>
    <s v="Moderate_Risk"/>
  </r>
  <r>
    <x v="186"/>
    <x v="183"/>
    <x v="149"/>
    <n v="542"/>
    <n v="2126"/>
    <n v="14883803"/>
    <x v="2"/>
    <x v="4"/>
    <n v="1.3313609467455622E-2"/>
    <n v="0.20044378698224852"/>
    <n v="1.8167399823821909E-4"/>
    <s v="Low_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C4DEB-DE79-4589-9071-7E0CFD36274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3:L11" firstHeaderRow="1" firstDataRow="1" firstDataCol="1"/>
  <pivotFields count="15">
    <pivotField showAll="0"/>
    <pivotField dataField="1" numFmtId="1"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0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t="default"/>
      </items>
    </pivotField>
    <pivotField showAll="0"/>
    <pivotField showAll="0"/>
    <pivotField showAll="0"/>
    <pivotField showAll="0"/>
    <pivotField showAll="0"/>
    <pivotField numFmtId="164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numFmtId="10" showAll="0"/>
    <pivotField numFmtId="10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8"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Items count="1">
    <i/>
  </colItems>
  <dataFields count="1">
    <dataField name="Sum of Confirmed" fld="1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019EB-93F0-419C-BD72-A1021CDAE3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3:D14" firstHeaderRow="0" firstDataRow="1" firstDataCol="1"/>
  <pivotFields count="15">
    <pivotField axis="axisRow" showAll="0" measureFilter="1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dataField="1" numFmtId="1" showAll="0"/>
    <pivotField showAll="0"/>
    <pivotField dataField="1" showAll="0"/>
    <pivotField showAll="0"/>
    <pivotField showAll="0"/>
    <pivotField showAll="0"/>
    <pivotField numFmtId="164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numFmtId="10" showAll="0"/>
    <pivotField numFmtId="10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1">
    <i>
      <x v="23"/>
    </i>
    <i>
      <x v="34"/>
    </i>
    <i>
      <x v="78"/>
    </i>
    <i>
      <x v="80"/>
    </i>
    <i>
      <x v="110"/>
    </i>
    <i>
      <x v="132"/>
    </i>
    <i>
      <x v="138"/>
    </i>
    <i>
      <x v="154"/>
    </i>
    <i>
      <x v="176"/>
    </i>
    <i>
      <x v="178"/>
    </i>
    <i t="grand">
      <x/>
    </i>
  </rowItems>
  <colFields count="1">
    <field x="-2"/>
  </colFields>
  <colItems count="2">
    <i>
      <x/>
    </i>
    <i i="1">
      <x v="1"/>
    </i>
  </colItems>
  <dataFields count="2">
    <dataField name="Confirmed_cases" fld="1" baseField="0" baseItem="23" numFmtId="1"/>
    <dataField name="Recovered_cases" fld="3" baseField="0" baseItem="2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8155B-E53B-4D4D-BA9A-FF3BBD48682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18:D25" firstHeaderRow="0" firstDataRow="1" firstDataCol="1"/>
  <pivotFields count="15">
    <pivotField showAll="0"/>
    <pivotField dataField="1" numFmtId="1" showAll="0"/>
    <pivotField showAll="0">
      <items count="151">
        <item x="19"/>
        <item x="26"/>
        <item x="17"/>
        <item x="5"/>
        <item x="96"/>
        <item x="115"/>
        <item x="25"/>
        <item x="14"/>
        <item x="56"/>
        <item x="92"/>
        <item x="68"/>
        <item x="11"/>
        <item x="83"/>
        <item x="117"/>
        <item x="91"/>
        <item x="57"/>
        <item x="137"/>
        <item x="41"/>
        <item x="64"/>
        <item x="136"/>
        <item x="27"/>
        <item x="131"/>
        <item x="63"/>
        <item x="122"/>
        <item x="123"/>
        <item x="82"/>
        <item x="51"/>
        <item x="18"/>
        <item x="149"/>
        <item x="134"/>
        <item x="4"/>
        <item x="116"/>
        <item x="107"/>
        <item x="62"/>
        <item x="128"/>
        <item x="98"/>
        <item x="55"/>
        <item x="138"/>
        <item x="49"/>
        <item x="3"/>
        <item x="24"/>
        <item x="35"/>
        <item x="44"/>
        <item x="30"/>
        <item x="135"/>
        <item x="85"/>
        <item x="121"/>
        <item x="50"/>
        <item x="84"/>
        <item x="31"/>
        <item x="146"/>
        <item x="86"/>
        <item x="40"/>
        <item x="88"/>
        <item x="125"/>
        <item x="38"/>
        <item x="89"/>
        <item x="100"/>
        <item x="87"/>
        <item x="37"/>
        <item x="124"/>
        <item x="144"/>
        <item x="90"/>
        <item x="39"/>
        <item x="148"/>
        <item x="12"/>
        <item x="1"/>
        <item x="145"/>
        <item x="93"/>
        <item x="65"/>
        <item x="112"/>
        <item x="8"/>
        <item x="59"/>
        <item x="79"/>
        <item x="119"/>
        <item x="60"/>
        <item x="36"/>
        <item x="52"/>
        <item x="103"/>
        <item x="78"/>
        <item x="21"/>
        <item x="127"/>
        <item x="97"/>
        <item x="53"/>
        <item x="142"/>
        <item x="23"/>
        <item x="42"/>
        <item x="28"/>
        <item x="104"/>
        <item x="48"/>
        <item x="10"/>
        <item x="80"/>
        <item x="102"/>
        <item x="74"/>
        <item x="147"/>
        <item x="15"/>
        <item x="120"/>
        <item x="77"/>
        <item x="67"/>
        <item x="43"/>
        <item x="7"/>
        <item x="9"/>
        <item x="130"/>
        <item x="95"/>
        <item x="101"/>
        <item x="76"/>
        <item x="45"/>
        <item x="2"/>
        <item x="66"/>
        <item x="81"/>
        <item x="106"/>
        <item x="141"/>
        <item x="110"/>
        <item x="111"/>
        <item x="61"/>
        <item x="73"/>
        <item x="109"/>
        <item x="133"/>
        <item x="113"/>
        <item x="20"/>
        <item x="118"/>
        <item x="13"/>
        <item x="6"/>
        <item x="72"/>
        <item x="47"/>
        <item x="33"/>
        <item x="70"/>
        <item x="46"/>
        <item x="139"/>
        <item x="132"/>
        <item x="105"/>
        <item x="99"/>
        <item x="126"/>
        <item x="34"/>
        <item x="29"/>
        <item x="58"/>
        <item x="32"/>
        <item x="16"/>
        <item x="114"/>
        <item x="71"/>
        <item x="108"/>
        <item x="129"/>
        <item x="54"/>
        <item x="69"/>
        <item x="75"/>
        <item x="94"/>
        <item x="143"/>
        <item x="22"/>
        <item x="140"/>
        <item x="0"/>
        <item t="default"/>
      </items>
    </pivotField>
    <pivotField showAll="0"/>
    <pivotField showAll="0"/>
    <pivotField showAll="0"/>
    <pivotField axis="axisRow" showAll="0">
      <items count="7">
        <item x="2"/>
        <item x="0"/>
        <item x="5"/>
        <item x="1"/>
        <item x="3"/>
        <item x="4"/>
        <item t="default"/>
      </items>
    </pivotField>
    <pivotField numFmtId="164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dataField="1" numFmtId="10" showAll="0"/>
    <pivotField numFmtId="10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Death_Rate " fld="8" subtotal="average" baseField="6" baseItem="0" numFmtId="10"/>
    <dataField name="Confirm cases" fld="1" baseField="6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12931-953A-4AAD-9FCA-8D9C31519D7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S3:T10" firstHeaderRow="1" firstDataRow="1" firstDataCol="1"/>
  <pivotFields count="15">
    <pivotField showAll="0"/>
    <pivotField dataField="1" numFmtId="1"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1"/>
        <item x="3"/>
        <item x="4"/>
        <item t="default"/>
      </items>
    </pivotField>
    <pivotField numFmtId="164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numFmtId="10" showAll="0"/>
    <pivotField numFmtId="10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nfirmed" fld="1" baseField="0" baseItem="0" numFmtId="1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86F35-02A8-4188-AFA0-2AFC3D7C38A0}" name="Table1" displayName="Table1" ref="A1:L188" totalsRowShown="0" headerRowDxfId="21" dataDxfId="20" tableBorderDxfId="19">
  <autoFilter ref="A1:L188" xr:uid="{89786F35-02A8-4188-AFA0-2AFC3D7C38A0}"/>
  <tableColumns count="12">
    <tableColumn id="1" xr3:uid="{E53CDD56-92CD-4CFB-A58C-053556D0E5AE}" name="Country/Region" dataDxfId="18"/>
    <tableColumn id="2" xr3:uid="{0A1632F2-6C6A-41B6-80F0-AF06B05CC22D}" name="Confirmed" dataDxfId="17"/>
    <tableColumn id="3" xr3:uid="{DC1D5D50-57F9-4CF8-ACF4-C8C3E1142C7D}" name="Deaths" dataDxfId="16"/>
    <tableColumn id="4" xr3:uid="{B9BF3DE1-9075-4EDF-BE8B-27F8196BC8B2}" name="Recovered" dataDxfId="15"/>
    <tableColumn id="5" xr3:uid="{CCA6D57E-9C13-4951-86A6-86773B3F5DE8}" name="Active" dataDxfId="14"/>
    <tableColumn id="6" xr3:uid="{472A4469-88D1-4095-90B9-D58C7F868A0E}" name="Population" dataDxfId="13"/>
    <tableColumn id="7" xr3:uid="{9B2A1713-C361-4AB5-9B4B-4F736DF7089D}" name="Continent" dataDxfId="12"/>
    <tableColumn id="8" xr3:uid="{C974F0C1-E48E-4F99-81B2-6E38CA68D5FF}" name="Date of First Case" dataDxfId="11"/>
    <tableColumn id="9" xr3:uid="{B7839F49-5B95-4C82-8804-78162BC47CCD}" name="Death_Rate" dataDxfId="10">
      <calculatedColumnFormula>Table1[[#This Row],[Deaths]]/Table1[[#This Row],[Confirmed]]</calculatedColumnFormula>
    </tableColumn>
    <tableColumn id="10" xr3:uid="{AE6C978A-7AA2-4199-B066-9DC23CCBA69D}" name="Recovery_rate" dataDxfId="9">
      <calculatedColumnFormula>Table1[[#This Row],[Recovered]]/Table1[[#This Row],[Confirmed]]</calculatedColumnFormula>
    </tableColumn>
    <tableColumn id="11" xr3:uid="{BF171A46-39D9-41B7-915B-5BD44E3F6EB6}" name="Infection_rate" dataDxfId="8">
      <calculatedColumnFormula>Table1[[#This Row],[Confirmed]]/Table1[[#This Row],[Population]]</calculatedColumnFormula>
    </tableColumn>
    <tableColumn id="12" xr3:uid="{5BFB896C-5B0C-43BC-A4E7-856BAE7532B7}" name="Risk_categorisation" dataDxfId="7">
      <calculatedColumnFormula>IF(Table1[[#This Row],[Death_Rate]]&gt; 5%,"High_Risk",IF(Table1[[#This Row],[Death_Rate]] &gt;= 2%,"Moderate_Risk","Low_Risk"))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794B-BB02-4C5E-8F1A-889D3AEAC42C}">
  <dimension ref="B1:B28"/>
  <sheetViews>
    <sheetView workbookViewId="0">
      <selection activeCell="D17" sqref="D17"/>
    </sheetView>
  </sheetViews>
  <sheetFormatPr defaultRowHeight="15" x14ac:dyDescent="0.25"/>
  <cols>
    <col min="2" max="2" width="67.42578125" bestFit="1" customWidth="1"/>
  </cols>
  <sheetData>
    <row r="1" spans="2:2" ht="15.75" thickBot="1" x14ac:dyDescent="0.3">
      <c r="B1" t="s">
        <v>234</v>
      </c>
    </row>
    <row r="2" spans="2:2" x14ac:dyDescent="0.25">
      <c r="B2" s="29"/>
    </row>
    <row r="3" spans="2:2" x14ac:dyDescent="0.25">
      <c r="B3" s="30" t="s">
        <v>225</v>
      </c>
    </row>
    <row r="4" spans="2:2" x14ac:dyDescent="0.25">
      <c r="B4" s="30" t="s">
        <v>226</v>
      </c>
    </row>
    <row r="5" spans="2:2" x14ac:dyDescent="0.25">
      <c r="B5" s="30" t="s">
        <v>227</v>
      </c>
    </row>
    <row r="6" spans="2:2" x14ac:dyDescent="0.25">
      <c r="B6" s="30" t="s">
        <v>228</v>
      </c>
    </row>
    <row r="7" spans="2:2" x14ac:dyDescent="0.25">
      <c r="B7" s="30" t="s">
        <v>229</v>
      </c>
    </row>
    <row r="8" spans="2:2" ht="15.75" thickBot="1" x14ac:dyDescent="0.3">
      <c r="B8" s="31"/>
    </row>
    <row r="10" spans="2:2" ht="15.75" thickBot="1" x14ac:dyDescent="0.3">
      <c r="B10" s="34" t="s">
        <v>240</v>
      </c>
    </row>
    <row r="11" spans="2:2" x14ac:dyDescent="0.25">
      <c r="B11" s="29" t="s">
        <v>230</v>
      </c>
    </row>
    <row r="12" spans="2:2" x14ac:dyDescent="0.25">
      <c r="B12" s="30" t="s">
        <v>231</v>
      </c>
    </row>
    <row r="13" spans="2:2" x14ac:dyDescent="0.25">
      <c r="B13" s="30" t="s">
        <v>232</v>
      </c>
    </row>
    <row r="14" spans="2:2" x14ac:dyDescent="0.25">
      <c r="B14" s="30" t="s">
        <v>233</v>
      </c>
    </row>
    <row r="15" spans="2:2" x14ac:dyDescent="0.25">
      <c r="B15" s="30"/>
    </row>
    <row r="16" spans="2:2" ht="15.75" thickBot="1" x14ac:dyDescent="0.3">
      <c r="B16" s="31"/>
    </row>
    <row r="22" spans="2:2" ht="15.75" thickBot="1" x14ac:dyDescent="0.3">
      <c r="B22" s="34" t="s">
        <v>239</v>
      </c>
    </row>
    <row r="23" spans="2:2" x14ac:dyDescent="0.25">
      <c r="B23" s="29"/>
    </row>
    <row r="24" spans="2:2" x14ac:dyDescent="0.25">
      <c r="B24" s="30" t="s">
        <v>235</v>
      </c>
    </row>
    <row r="25" spans="2:2" ht="60" x14ac:dyDescent="0.25">
      <c r="B25" s="33" t="s">
        <v>236</v>
      </c>
    </row>
    <row r="26" spans="2:2" x14ac:dyDescent="0.25">
      <c r="B26" s="30" t="s">
        <v>237</v>
      </c>
    </row>
    <row r="27" spans="2:2" x14ac:dyDescent="0.25">
      <c r="B27" s="30" t="s">
        <v>238</v>
      </c>
    </row>
    <row r="28" spans="2:2" ht="15.75" thickBot="1" x14ac:dyDescent="0.3">
      <c r="B28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59E6-F680-4CEA-A4DD-E5F1B22DAFFE}">
  <dimension ref="A1:S188"/>
  <sheetViews>
    <sheetView zoomScale="76" workbookViewId="0">
      <selection activeCell="N169" sqref="N169"/>
    </sheetView>
  </sheetViews>
  <sheetFormatPr defaultRowHeight="15" x14ac:dyDescent="0.25"/>
  <cols>
    <col min="1" max="1" width="28.7109375" style="8" bestFit="1" customWidth="1"/>
    <col min="2" max="2" width="11.7109375" style="2" customWidth="1"/>
    <col min="3" max="3" width="8.5703125" style="2" customWidth="1"/>
    <col min="4" max="4" width="14.28515625" style="2" customWidth="1"/>
    <col min="5" max="5" width="9" style="2" customWidth="1"/>
    <col min="6" max="6" width="16.7109375" style="2" bestFit="1" customWidth="1"/>
    <col min="7" max="7" width="18.7109375" style="10" bestFit="1" customWidth="1"/>
    <col min="8" max="8" width="17.85546875" style="3" customWidth="1"/>
    <col min="9" max="9" width="17.42578125" style="19" customWidth="1"/>
    <col min="10" max="10" width="21.140625" style="19" customWidth="1"/>
    <col min="11" max="11" width="14.42578125" style="19" customWidth="1"/>
    <col min="12" max="12" width="18.85546875" bestFit="1" customWidth="1"/>
  </cols>
  <sheetData>
    <row r="1" spans="1:12" ht="18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192</v>
      </c>
      <c r="G1" s="17" t="s">
        <v>193</v>
      </c>
      <c r="H1" s="18" t="s">
        <v>194</v>
      </c>
      <c r="I1" s="20" t="s">
        <v>206</v>
      </c>
      <c r="J1" s="20" t="s">
        <v>207</v>
      </c>
      <c r="K1" s="20" t="s">
        <v>208</v>
      </c>
      <c r="L1" s="21" t="s">
        <v>209</v>
      </c>
    </row>
    <row r="2" spans="1:12" ht="18" customHeight="1" x14ac:dyDescent="0.25">
      <c r="A2" s="11" t="s">
        <v>5</v>
      </c>
      <c r="B2" s="4">
        <v>36263</v>
      </c>
      <c r="C2" s="4" t="s">
        <v>201</v>
      </c>
      <c r="D2" s="4" t="s">
        <v>202</v>
      </c>
      <c r="E2" s="4" t="s">
        <v>203</v>
      </c>
      <c r="F2" s="4" t="s">
        <v>204</v>
      </c>
      <c r="G2" s="6" t="s">
        <v>195</v>
      </c>
      <c r="H2" s="13">
        <v>43885</v>
      </c>
      <c r="I2" s="22">
        <f>Table1[[#This Row],[Deaths]]/Table1[[#This Row],[Confirmed]]</f>
        <v>3.4994346854920991E-2</v>
      </c>
      <c r="J2" s="23">
        <f>Table1[[#This Row],[Recovered]]/Table1[[#This Row],[Confirmed]]</f>
        <v>0.69486804732096075</v>
      </c>
      <c r="K2" s="22">
        <f>Table1[[#This Row],[Confirmed]]/Table1[[#This Row],[Population]]</f>
        <v>9.2959533622714516E-4</v>
      </c>
      <c r="L2" s="24" t="str">
        <f>IF(Table1[[#This Row],[Death_Rate]]&gt; 5%,"High_Risk",IF(Table1[[#This Row],[Death_Rate]] &gt;= 2%,"Moderate_Risk","Low_Risk"))</f>
        <v>Moderate_Risk</v>
      </c>
    </row>
    <row r="3" spans="1:12" ht="18" customHeight="1" x14ac:dyDescent="0.25">
      <c r="A3" s="12" t="s">
        <v>6</v>
      </c>
      <c r="B3" s="5">
        <v>4880</v>
      </c>
      <c r="C3" s="5">
        <v>144</v>
      </c>
      <c r="D3" s="5">
        <v>2745</v>
      </c>
      <c r="E3" s="5">
        <v>1991</v>
      </c>
      <c r="F3" s="5">
        <v>2877470</v>
      </c>
      <c r="G3" s="7" t="s">
        <v>196</v>
      </c>
      <c r="H3" s="14">
        <v>43899</v>
      </c>
      <c r="I3" s="22">
        <f>Table1[[#This Row],[Deaths]]/Table1[[#This Row],[Confirmed]]</f>
        <v>2.9508196721311476E-2</v>
      </c>
      <c r="J3" s="23">
        <f>Table1[[#This Row],[Recovered]]/Table1[[#This Row],[Confirmed]]</f>
        <v>0.5625</v>
      </c>
      <c r="K3" s="22">
        <f>Table1[[#This Row],[Confirmed]]/Table1[[#This Row],[Population]]</f>
        <v>1.6959342755962703E-3</v>
      </c>
      <c r="L3" s="24" t="str">
        <f>IF(Table1[[#This Row],[Death_Rate]]&gt; 5%,"High_Risk",IF(Table1[[#This Row],[Death_Rate]] &gt;= 2%,"Moderate_Risk","Low_Risk"))</f>
        <v>Moderate_Risk</v>
      </c>
    </row>
    <row r="4" spans="1:12" ht="18" customHeight="1" x14ac:dyDescent="0.25">
      <c r="A4" s="11" t="s">
        <v>7</v>
      </c>
      <c r="B4" s="4">
        <v>27973</v>
      </c>
      <c r="C4" s="4">
        <v>1163</v>
      </c>
      <c r="D4" s="4">
        <v>18837</v>
      </c>
      <c r="E4" s="4">
        <v>7973</v>
      </c>
      <c r="F4" s="4">
        <v>43926079</v>
      </c>
      <c r="G4" s="6" t="s">
        <v>197</v>
      </c>
      <c r="H4" s="13">
        <v>43886</v>
      </c>
      <c r="I4" s="22">
        <f>Table1[[#This Row],[Deaths]]/Table1[[#This Row],[Confirmed]]</f>
        <v>4.1575805240767885E-2</v>
      </c>
      <c r="J4" s="23">
        <f>Table1[[#This Row],[Recovered]]/Table1[[#This Row],[Confirmed]]</f>
        <v>0.67339934937260926</v>
      </c>
      <c r="K4" s="22">
        <f>Table1[[#This Row],[Confirmed]]/Table1[[#This Row],[Population]]</f>
        <v>6.3681987185790017E-4</v>
      </c>
      <c r="L4" s="24" t="str">
        <f>IF(Table1[[#This Row],[Death_Rate]]&gt; 5%,"High_Risk",IF(Table1[[#This Row],[Death_Rate]] &gt;= 2%,"Moderate_Risk","Low_Risk"))</f>
        <v>Moderate_Risk</v>
      </c>
    </row>
    <row r="5" spans="1:12" ht="18" customHeight="1" x14ac:dyDescent="0.25">
      <c r="A5" s="12" t="s">
        <v>8</v>
      </c>
      <c r="B5" s="5">
        <v>907</v>
      </c>
      <c r="C5" s="5">
        <v>52</v>
      </c>
      <c r="D5" s="5">
        <v>803</v>
      </c>
      <c r="E5" s="5">
        <v>52</v>
      </c>
      <c r="F5" s="5">
        <v>77278</v>
      </c>
      <c r="G5" s="7" t="s">
        <v>196</v>
      </c>
      <c r="H5" s="14">
        <v>43892</v>
      </c>
      <c r="I5" s="22">
        <f>Table1[[#This Row],[Deaths]]/Table1[[#This Row],[Confirmed]]</f>
        <v>5.7331863285556783E-2</v>
      </c>
      <c r="J5" s="23">
        <f>Table1[[#This Row],[Recovered]]/Table1[[#This Row],[Confirmed]]</f>
        <v>0.88533627342888643</v>
      </c>
      <c r="K5" s="22">
        <f>Table1[[#This Row],[Confirmed]]/Table1[[#This Row],[Population]]</f>
        <v>1.1736846191671627E-2</v>
      </c>
      <c r="L5" s="24" t="str">
        <f>IF(Table1[[#This Row],[Death_Rate]]&gt; 5%,"High_Risk",IF(Table1[[#This Row],[Death_Rate]] &gt;= 2%,"Moderate_Risk","Low_Risk"))</f>
        <v>High_Risk</v>
      </c>
    </row>
    <row r="6" spans="1:12" ht="18" customHeight="1" x14ac:dyDescent="0.25">
      <c r="A6" s="11" t="s">
        <v>9</v>
      </c>
      <c r="B6" s="4">
        <v>950</v>
      </c>
      <c r="C6" s="4">
        <v>41</v>
      </c>
      <c r="D6" s="4">
        <v>242</v>
      </c>
      <c r="E6" s="4">
        <v>667</v>
      </c>
      <c r="F6" s="4">
        <v>32956300</v>
      </c>
      <c r="G6" s="6" t="s">
        <v>197</v>
      </c>
      <c r="H6" s="13">
        <v>43911</v>
      </c>
      <c r="I6" s="22">
        <f>Table1[[#This Row],[Deaths]]/Table1[[#This Row],[Confirmed]]</f>
        <v>4.3157894736842103E-2</v>
      </c>
      <c r="J6" s="23">
        <f>Table1[[#This Row],[Recovered]]/Table1[[#This Row],[Confirmed]]</f>
        <v>0.25473684210526315</v>
      </c>
      <c r="K6" s="22">
        <f>Table1[[#This Row],[Confirmed]]/Table1[[#This Row],[Population]]</f>
        <v>2.8826051468156317E-5</v>
      </c>
      <c r="L6" s="24" t="str">
        <f>IF(Table1[[#This Row],[Death_Rate]]&gt; 5%,"High_Risk",IF(Table1[[#This Row],[Death_Rate]] &gt;= 2%,"Moderate_Risk","Low_Risk"))</f>
        <v>Moderate_Risk</v>
      </c>
    </row>
    <row r="7" spans="1:12" ht="18" customHeight="1" x14ac:dyDescent="0.25">
      <c r="A7" s="12" t="s">
        <v>10</v>
      </c>
      <c r="B7" s="5">
        <v>86</v>
      </c>
      <c r="C7" s="5">
        <v>3</v>
      </c>
      <c r="D7" s="5">
        <v>65</v>
      </c>
      <c r="E7" s="5">
        <v>18</v>
      </c>
      <c r="F7" s="5">
        <v>98010</v>
      </c>
      <c r="G7" s="7" t="s">
        <v>198</v>
      </c>
      <c r="H7" s="14">
        <v>43903</v>
      </c>
      <c r="I7" s="22">
        <f>Table1[[#This Row],[Deaths]]/Table1[[#This Row],[Confirmed]]</f>
        <v>3.4883720930232558E-2</v>
      </c>
      <c r="J7" s="23">
        <f>Table1[[#This Row],[Recovered]]/Table1[[#This Row],[Confirmed]]</f>
        <v>0.7558139534883721</v>
      </c>
      <c r="K7" s="22">
        <f>Table1[[#This Row],[Confirmed]]/Table1[[#This Row],[Population]]</f>
        <v>8.7746148352208962E-4</v>
      </c>
      <c r="L7" s="24" t="str">
        <f>IF(Table1[[#This Row],[Death_Rate]]&gt; 5%,"High_Risk",IF(Table1[[#This Row],[Death_Rate]] &gt;= 2%,"Moderate_Risk","Low_Risk"))</f>
        <v>Moderate_Risk</v>
      </c>
    </row>
    <row r="8" spans="1:12" ht="18" customHeight="1" x14ac:dyDescent="0.25">
      <c r="A8" s="11" t="s">
        <v>11</v>
      </c>
      <c r="B8" s="4">
        <v>167416</v>
      </c>
      <c r="C8" s="4">
        <v>3059</v>
      </c>
      <c r="D8" s="4">
        <v>72575</v>
      </c>
      <c r="E8" s="4">
        <v>91782</v>
      </c>
      <c r="F8" s="4">
        <v>45236884</v>
      </c>
      <c r="G8" s="6" t="s">
        <v>199</v>
      </c>
      <c r="H8" s="13">
        <v>43893</v>
      </c>
      <c r="I8" s="22">
        <f>Table1[[#This Row],[Deaths]]/Table1[[#This Row],[Confirmed]]</f>
        <v>1.8271849763463469E-2</v>
      </c>
      <c r="J8" s="23">
        <f>Table1[[#This Row],[Recovered]]/Table1[[#This Row],[Confirmed]]</f>
        <v>0.43350097959573758</v>
      </c>
      <c r="K8" s="22">
        <f>Table1[[#This Row],[Confirmed]]/Table1[[#This Row],[Population]]</f>
        <v>3.7008738267649026E-3</v>
      </c>
      <c r="L8" s="24" t="str">
        <f>IF(Table1[[#This Row],[Death_Rate]]&gt; 5%,"High_Risk",IF(Table1[[#This Row],[Death_Rate]] &gt;= 2%,"Moderate_Risk","Low_Risk"))</f>
        <v>Low_Risk</v>
      </c>
    </row>
    <row r="9" spans="1:12" ht="18" customHeight="1" x14ac:dyDescent="0.25">
      <c r="A9" s="12" t="s">
        <v>12</v>
      </c>
      <c r="B9" s="5">
        <v>37390</v>
      </c>
      <c r="C9" s="5">
        <v>711</v>
      </c>
      <c r="D9" s="5">
        <v>26665</v>
      </c>
      <c r="E9" s="5">
        <v>10014</v>
      </c>
      <c r="F9" s="5">
        <v>2963811</v>
      </c>
      <c r="G9" s="7" t="s">
        <v>195</v>
      </c>
      <c r="H9" s="14">
        <v>43891</v>
      </c>
      <c r="I9" s="22">
        <f>Table1[[#This Row],[Deaths]]/Table1[[#This Row],[Confirmed]]</f>
        <v>1.901577962021931E-2</v>
      </c>
      <c r="J9" s="23">
        <f>Table1[[#This Row],[Recovered]]/Table1[[#This Row],[Confirmed]]</f>
        <v>0.71315859855576358</v>
      </c>
      <c r="K9" s="22">
        <f>Table1[[#This Row],[Confirmed]]/Table1[[#This Row],[Population]]</f>
        <v>1.2615514282118529E-2</v>
      </c>
      <c r="L9" s="24" t="str">
        <f>IF(Table1[[#This Row],[Death_Rate]]&gt; 5%,"High_Risk",IF(Table1[[#This Row],[Death_Rate]] &gt;= 2%,"Moderate_Risk","Low_Risk"))</f>
        <v>Low_Risk</v>
      </c>
    </row>
    <row r="10" spans="1:12" ht="18" customHeight="1" x14ac:dyDescent="0.25">
      <c r="A10" s="11" t="s">
        <v>13</v>
      </c>
      <c r="B10" s="4">
        <v>15303</v>
      </c>
      <c r="C10" s="4">
        <v>167</v>
      </c>
      <c r="D10" s="4">
        <v>9311</v>
      </c>
      <c r="E10" s="4">
        <v>5825</v>
      </c>
      <c r="F10" s="4">
        <v>25528864</v>
      </c>
      <c r="G10" s="6" t="s">
        <v>200</v>
      </c>
      <c r="H10" s="13">
        <v>43855</v>
      </c>
      <c r="I10" s="22">
        <f>Table1[[#This Row],[Deaths]]/Table1[[#This Row],[Confirmed]]</f>
        <v>1.0912892896817617E-2</v>
      </c>
      <c r="J10" s="23">
        <f>Table1[[#This Row],[Recovered]]/Table1[[#This Row],[Confirmed]]</f>
        <v>0.60844278899562176</v>
      </c>
      <c r="K10" s="22">
        <f>Table1[[#This Row],[Confirmed]]/Table1[[#This Row],[Population]]</f>
        <v>5.9943912897965216E-4</v>
      </c>
      <c r="L10" s="24" t="str">
        <f>IF(Table1[[#This Row],[Death_Rate]]&gt; 5%,"High_Risk",IF(Table1[[#This Row],[Death_Rate]] &gt;= 2%,"Moderate_Risk","Low_Risk"))</f>
        <v>Low_Risk</v>
      </c>
    </row>
    <row r="11" spans="1:12" ht="18" customHeight="1" x14ac:dyDescent="0.25">
      <c r="A11" s="12" t="s">
        <v>14</v>
      </c>
      <c r="B11" s="5">
        <v>20558</v>
      </c>
      <c r="C11" s="5">
        <v>713</v>
      </c>
      <c r="D11" s="5">
        <v>18246</v>
      </c>
      <c r="E11" s="5">
        <v>1599</v>
      </c>
      <c r="F11" s="5">
        <v>9011577</v>
      </c>
      <c r="G11" s="7" t="s">
        <v>196</v>
      </c>
      <c r="H11" s="14">
        <v>43886</v>
      </c>
      <c r="I11" s="22">
        <f>Table1[[#This Row],[Deaths]]/Table1[[#This Row],[Confirmed]]</f>
        <v>3.4682362097480303E-2</v>
      </c>
      <c r="J11" s="23">
        <f>Table1[[#This Row],[Recovered]]/Table1[[#This Row],[Confirmed]]</f>
        <v>0.88753769821967121</v>
      </c>
      <c r="K11" s="22">
        <f>Table1[[#This Row],[Confirmed]]/Table1[[#This Row],[Population]]</f>
        <v>2.2812877257776302E-3</v>
      </c>
      <c r="L11" s="24" t="str">
        <f>IF(Table1[[#This Row],[Death_Rate]]&gt; 5%,"High_Risk",IF(Table1[[#This Row],[Death_Rate]] &gt;= 2%,"Moderate_Risk","Low_Risk"))</f>
        <v>Moderate_Risk</v>
      </c>
    </row>
    <row r="12" spans="1:12" ht="18" customHeight="1" x14ac:dyDescent="0.25">
      <c r="A12" s="11" t="s">
        <v>15</v>
      </c>
      <c r="B12" s="4">
        <v>30446</v>
      </c>
      <c r="C12" s="4">
        <v>423</v>
      </c>
      <c r="D12" s="4">
        <v>23242</v>
      </c>
      <c r="E12" s="4">
        <v>6781</v>
      </c>
      <c r="F12" s="4">
        <v>10148243</v>
      </c>
      <c r="G12" s="6" t="s">
        <v>195</v>
      </c>
      <c r="H12" s="13">
        <v>43889</v>
      </c>
      <c r="I12" s="22">
        <f>Table1[[#This Row],[Deaths]]/Table1[[#This Row],[Confirmed]]</f>
        <v>1.389345069959929E-2</v>
      </c>
      <c r="J12" s="23">
        <f>Table1[[#This Row],[Recovered]]/Table1[[#This Row],[Confirmed]]</f>
        <v>0.76338435262431847</v>
      </c>
      <c r="K12" s="22">
        <f>Table1[[#This Row],[Confirmed]]/Table1[[#This Row],[Population]]</f>
        <v>3.0001252433549336E-3</v>
      </c>
      <c r="L12" s="24" t="str">
        <f>IF(Table1[[#This Row],[Death_Rate]]&gt; 5%,"High_Risk",IF(Table1[[#This Row],[Death_Rate]] &gt;= 2%,"Moderate_Risk","Low_Risk"))</f>
        <v>Low_Risk</v>
      </c>
    </row>
    <row r="13" spans="1:12" ht="18" customHeight="1" x14ac:dyDescent="0.25">
      <c r="A13" s="12" t="s">
        <v>16</v>
      </c>
      <c r="B13" s="5">
        <v>382</v>
      </c>
      <c r="C13" s="5">
        <v>11</v>
      </c>
      <c r="D13" s="5">
        <v>91</v>
      </c>
      <c r="E13" s="5">
        <v>280</v>
      </c>
      <c r="F13" s="5">
        <v>393616</v>
      </c>
      <c r="G13" s="7" t="s">
        <v>198</v>
      </c>
      <c r="H13" s="14">
        <v>43905</v>
      </c>
      <c r="I13" s="22">
        <f>Table1[[#This Row],[Deaths]]/Table1[[#This Row],[Confirmed]]</f>
        <v>2.8795811518324606E-2</v>
      </c>
      <c r="J13" s="23">
        <f>Table1[[#This Row],[Recovered]]/Table1[[#This Row],[Confirmed]]</f>
        <v>0.23821989528795812</v>
      </c>
      <c r="K13" s="22">
        <f>Table1[[#This Row],[Confirmed]]/Table1[[#This Row],[Population]]</f>
        <v>9.7048900451201169E-4</v>
      </c>
      <c r="L13" s="24" t="str">
        <f>IF(Table1[[#This Row],[Death_Rate]]&gt; 5%,"High_Risk",IF(Table1[[#This Row],[Death_Rate]] &gt;= 2%,"Moderate_Risk","Low_Risk"))</f>
        <v>Moderate_Risk</v>
      </c>
    </row>
    <row r="14" spans="1:12" ht="18" customHeight="1" x14ac:dyDescent="0.25">
      <c r="A14" s="11" t="s">
        <v>17</v>
      </c>
      <c r="B14" s="4">
        <v>39482</v>
      </c>
      <c r="C14" s="4">
        <v>141</v>
      </c>
      <c r="D14" s="4">
        <v>36110</v>
      </c>
      <c r="E14" s="4">
        <v>3231</v>
      </c>
      <c r="F14" s="4">
        <v>1706669</v>
      </c>
      <c r="G14" s="6" t="s">
        <v>195</v>
      </c>
      <c r="H14" s="13">
        <v>43882</v>
      </c>
      <c r="I14" s="22">
        <f>Table1[[#This Row],[Deaths]]/Table1[[#This Row],[Confirmed]]</f>
        <v>3.5712476571602247E-3</v>
      </c>
      <c r="J14" s="23">
        <f>Table1[[#This Row],[Recovered]]/Table1[[#This Row],[Confirmed]]</f>
        <v>0.91459399219897675</v>
      </c>
      <c r="K14" s="22">
        <f>Table1[[#This Row],[Confirmed]]/Table1[[#This Row],[Population]]</f>
        <v>2.3133952746548978E-2</v>
      </c>
      <c r="L14" s="24" t="str">
        <f>IF(Table1[[#This Row],[Death_Rate]]&gt; 5%,"High_Risk",IF(Table1[[#This Row],[Death_Rate]] &gt;= 2%,"Moderate_Risk","Low_Risk"))</f>
        <v>Low_Risk</v>
      </c>
    </row>
    <row r="15" spans="1:12" ht="18" customHeight="1" x14ac:dyDescent="0.25">
      <c r="A15" s="12" t="s">
        <v>18</v>
      </c>
      <c r="B15" s="5">
        <v>226225</v>
      </c>
      <c r="C15" s="5">
        <v>2965</v>
      </c>
      <c r="D15" s="5">
        <v>125683</v>
      </c>
      <c r="E15" s="5">
        <v>97577</v>
      </c>
      <c r="F15" s="5">
        <v>164851401</v>
      </c>
      <c r="G15" s="7" t="s">
        <v>195</v>
      </c>
      <c r="H15" s="14">
        <v>43898</v>
      </c>
      <c r="I15" s="22">
        <f>Table1[[#This Row],[Deaths]]/Table1[[#This Row],[Confirmed]]</f>
        <v>1.3106420598961211E-2</v>
      </c>
      <c r="J15" s="23">
        <f>Table1[[#This Row],[Recovered]]/Table1[[#This Row],[Confirmed]]</f>
        <v>0.55556636092385903</v>
      </c>
      <c r="K15" s="22">
        <f>Table1[[#This Row],[Confirmed]]/Table1[[#This Row],[Population]]</f>
        <v>1.3722964962851604E-3</v>
      </c>
      <c r="L15" s="24" t="str">
        <f>IF(Table1[[#This Row],[Death_Rate]]&gt; 5%,"High_Risk",IF(Table1[[#This Row],[Death_Rate]] &gt;= 2%,"Moderate_Risk","Low_Risk"))</f>
        <v>Low_Risk</v>
      </c>
    </row>
    <row r="16" spans="1:12" ht="18" customHeight="1" x14ac:dyDescent="0.25">
      <c r="A16" s="11" t="s">
        <v>19</v>
      </c>
      <c r="B16" s="4">
        <v>110</v>
      </c>
      <c r="C16" s="4">
        <v>7</v>
      </c>
      <c r="D16" s="4">
        <v>94</v>
      </c>
      <c r="E16" s="4">
        <v>9</v>
      </c>
      <c r="F16" s="4">
        <v>287411</v>
      </c>
      <c r="G16" s="6" t="s">
        <v>198</v>
      </c>
      <c r="H16" s="13">
        <v>43907</v>
      </c>
      <c r="I16" s="22">
        <f>Table1[[#This Row],[Deaths]]/Table1[[#This Row],[Confirmed]]</f>
        <v>6.363636363636363E-2</v>
      </c>
      <c r="J16" s="23">
        <f>Table1[[#This Row],[Recovered]]/Table1[[#This Row],[Confirmed]]</f>
        <v>0.8545454545454545</v>
      </c>
      <c r="K16" s="22">
        <f>Table1[[#This Row],[Confirmed]]/Table1[[#This Row],[Population]]</f>
        <v>3.8272717467320317E-4</v>
      </c>
      <c r="L16" s="24" t="str">
        <f>IF(Table1[[#This Row],[Death_Rate]]&gt; 5%,"High_Risk",IF(Table1[[#This Row],[Death_Rate]] &gt;= 2%,"Moderate_Risk","Low_Risk"))</f>
        <v>High_Risk</v>
      </c>
    </row>
    <row r="17" spans="1:12" ht="18" customHeight="1" x14ac:dyDescent="0.25">
      <c r="A17" s="12" t="s">
        <v>20</v>
      </c>
      <c r="B17" s="5">
        <v>67251</v>
      </c>
      <c r="C17" s="5">
        <v>538</v>
      </c>
      <c r="D17" s="5">
        <v>60492</v>
      </c>
      <c r="E17" s="5">
        <v>6221</v>
      </c>
      <c r="F17" s="5">
        <v>9449001</v>
      </c>
      <c r="G17" s="7" t="s">
        <v>196</v>
      </c>
      <c r="H17" s="14">
        <v>43889</v>
      </c>
      <c r="I17" s="22">
        <f>Table1[[#This Row],[Deaths]]/Table1[[#This Row],[Confirmed]]</f>
        <v>7.9998810426610764E-3</v>
      </c>
      <c r="J17" s="23">
        <f>Table1[[#This Row],[Recovered]]/Table1[[#This Row],[Confirmed]]</f>
        <v>0.89949591827630815</v>
      </c>
      <c r="K17" s="22">
        <f>Table1[[#This Row],[Confirmed]]/Table1[[#This Row],[Population]]</f>
        <v>7.1172603326002401E-3</v>
      </c>
      <c r="L17" s="24" t="str">
        <f>IF(Table1[[#This Row],[Death_Rate]]&gt; 5%,"High_Risk",IF(Table1[[#This Row],[Death_Rate]] &gt;= 2%,"Moderate_Risk","Low_Risk"))</f>
        <v>Low_Risk</v>
      </c>
    </row>
    <row r="18" spans="1:12" ht="18" customHeight="1" x14ac:dyDescent="0.25">
      <c r="A18" s="11" t="s">
        <v>21</v>
      </c>
      <c r="B18" s="4">
        <v>66428</v>
      </c>
      <c r="C18" s="4">
        <v>9822</v>
      </c>
      <c r="D18" s="4">
        <v>17452</v>
      </c>
      <c r="E18" s="4">
        <v>39154</v>
      </c>
      <c r="F18" s="4">
        <v>11594739</v>
      </c>
      <c r="G18" s="6" t="s">
        <v>196</v>
      </c>
      <c r="H18" s="13">
        <v>43865</v>
      </c>
      <c r="I18" s="22">
        <f>Table1[[#This Row],[Deaths]]/Table1[[#This Row],[Confirmed]]</f>
        <v>0.14785933642439936</v>
      </c>
      <c r="J18" s="23">
        <f>Table1[[#This Row],[Recovered]]/Table1[[#This Row],[Confirmed]]</f>
        <v>0.26272053953152286</v>
      </c>
      <c r="K18" s="22">
        <f>Table1[[#This Row],[Confirmed]]/Table1[[#This Row],[Population]]</f>
        <v>5.7291500912612179E-3</v>
      </c>
      <c r="L18" s="24" t="str">
        <f>IF(Table1[[#This Row],[Death_Rate]]&gt; 5%,"High_Risk",IF(Table1[[#This Row],[Death_Rate]] &gt;= 2%,"Moderate_Risk","Low_Risk"))</f>
        <v>High_Risk</v>
      </c>
    </row>
    <row r="19" spans="1:12" ht="18" customHeight="1" x14ac:dyDescent="0.25">
      <c r="A19" s="12" t="s">
        <v>22</v>
      </c>
      <c r="B19" s="5">
        <v>48</v>
      </c>
      <c r="C19" s="5">
        <v>2</v>
      </c>
      <c r="D19" s="5">
        <v>26</v>
      </c>
      <c r="E19" s="5">
        <v>20</v>
      </c>
      <c r="F19" s="5">
        <v>398312</v>
      </c>
      <c r="G19" s="7" t="s">
        <v>198</v>
      </c>
      <c r="H19" s="14">
        <v>43913</v>
      </c>
      <c r="I19" s="22">
        <f>Table1[[#This Row],[Deaths]]/Table1[[#This Row],[Confirmed]]</f>
        <v>4.1666666666666664E-2</v>
      </c>
      <c r="J19" s="23">
        <f>Table1[[#This Row],[Recovered]]/Table1[[#This Row],[Confirmed]]</f>
        <v>0.54166666666666663</v>
      </c>
      <c r="K19" s="22">
        <f>Table1[[#This Row],[Confirmed]]/Table1[[#This Row],[Population]]</f>
        <v>1.2050854606439174E-4</v>
      </c>
      <c r="L19" s="24" t="str">
        <f>IF(Table1[[#This Row],[Death_Rate]]&gt; 5%,"High_Risk",IF(Table1[[#This Row],[Death_Rate]] &gt;= 2%,"Moderate_Risk","Low_Risk"))</f>
        <v>Moderate_Risk</v>
      </c>
    </row>
    <row r="20" spans="1:12" ht="18" customHeight="1" x14ac:dyDescent="0.25">
      <c r="A20" s="11" t="s">
        <v>23</v>
      </c>
      <c r="B20" s="4">
        <v>1770</v>
      </c>
      <c r="C20" s="4">
        <v>35</v>
      </c>
      <c r="D20" s="4">
        <v>1036</v>
      </c>
      <c r="E20" s="4">
        <v>699</v>
      </c>
      <c r="F20" s="4">
        <v>12151976</v>
      </c>
      <c r="G20" s="6" t="s">
        <v>197</v>
      </c>
      <c r="H20" s="13">
        <v>43906</v>
      </c>
      <c r="I20" s="22">
        <f>Table1[[#This Row],[Deaths]]/Table1[[#This Row],[Confirmed]]</f>
        <v>1.977401129943503E-2</v>
      </c>
      <c r="J20" s="23">
        <f>Table1[[#This Row],[Recovered]]/Table1[[#This Row],[Confirmed]]</f>
        <v>0.58531073446327686</v>
      </c>
      <c r="K20" s="22">
        <f>Table1[[#This Row],[Confirmed]]/Table1[[#This Row],[Population]]</f>
        <v>1.4565532387489903E-4</v>
      </c>
      <c r="L20" s="24" t="str">
        <f>IF(Table1[[#This Row],[Death_Rate]]&gt; 5%,"High_Risk",IF(Table1[[#This Row],[Death_Rate]] &gt;= 2%,"Moderate_Risk","Low_Risk"))</f>
        <v>Low_Risk</v>
      </c>
    </row>
    <row r="21" spans="1:12" ht="18" customHeight="1" x14ac:dyDescent="0.25">
      <c r="A21" s="12" t="s">
        <v>24</v>
      </c>
      <c r="B21" s="5">
        <v>99</v>
      </c>
      <c r="C21" s="5">
        <v>0</v>
      </c>
      <c r="D21" s="5">
        <v>86</v>
      </c>
      <c r="E21" s="5">
        <v>13</v>
      </c>
      <c r="F21" s="5">
        <v>772443</v>
      </c>
      <c r="G21" s="7" t="s">
        <v>195</v>
      </c>
      <c r="H21" s="14">
        <v>43896</v>
      </c>
      <c r="I21" s="22">
        <f>Table1[[#This Row],[Deaths]]/Table1[[#This Row],[Confirmed]]</f>
        <v>0</v>
      </c>
      <c r="J21" s="23">
        <f>Table1[[#This Row],[Recovered]]/Table1[[#This Row],[Confirmed]]</f>
        <v>0.86868686868686873</v>
      </c>
      <c r="K21" s="22">
        <f>Table1[[#This Row],[Confirmed]]/Table1[[#This Row],[Population]]</f>
        <v>1.2816479662577045E-4</v>
      </c>
      <c r="L21" s="24" t="str">
        <f>IF(Table1[[#This Row],[Death_Rate]]&gt; 5%,"High_Risk",IF(Table1[[#This Row],[Death_Rate]] &gt;= 2%,"Moderate_Risk","Low_Risk"))</f>
        <v>Low_Risk</v>
      </c>
    </row>
    <row r="22" spans="1:12" ht="18" customHeight="1" x14ac:dyDescent="0.25">
      <c r="A22" s="11" t="s">
        <v>25</v>
      </c>
      <c r="B22" s="4">
        <v>71181</v>
      </c>
      <c r="C22" s="4">
        <v>2647</v>
      </c>
      <c r="D22" s="4">
        <v>21478</v>
      </c>
      <c r="E22" s="4">
        <v>47056</v>
      </c>
      <c r="F22" s="4">
        <v>11688459</v>
      </c>
      <c r="G22" s="6" t="s">
        <v>199</v>
      </c>
      <c r="H22" s="13">
        <v>43900</v>
      </c>
      <c r="I22" s="22">
        <f>Table1[[#This Row],[Deaths]]/Table1[[#This Row],[Confirmed]]</f>
        <v>3.7186889759907839E-2</v>
      </c>
      <c r="J22" s="23">
        <f>Table1[[#This Row],[Recovered]]/Table1[[#This Row],[Confirmed]]</f>
        <v>0.30173782329554233</v>
      </c>
      <c r="K22" s="22">
        <f>Table1[[#This Row],[Confirmed]]/Table1[[#This Row],[Population]]</f>
        <v>6.0898532475495704E-3</v>
      </c>
      <c r="L22" s="24" t="str">
        <f>IF(Table1[[#This Row],[Death_Rate]]&gt; 5%,"High_Risk",IF(Table1[[#This Row],[Death_Rate]] &gt;= 2%,"Moderate_Risk","Low_Risk"))</f>
        <v>Moderate_Risk</v>
      </c>
    </row>
    <row r="23" spans="1:12" ht="18" customHeight="1" x14ac:dyDescent="0.25">
      <c r="A23" s="12" t="s">
        <v>26</v>
      </c>
      <c r="B23" s="5">
        <v>10498</v>
      </c>
      <c r="C23" s="5">
        <v>294</v>
      </c>
      <c r="D23" s="5">
        <v>4930</v>
      </c>
      <c r="E23" s="5">
        <v>5274</v>
      </c>
      <c r="F23" s="5">
        <v>3278650</v>
      </c>
      <c r="G23" s="7" t="s">
        <v>196</v>
      </c>
      <c r="H23" s="14">
        <v>43895</v>
      </c>
      <c r="I23" s="22">
        <f>Table1[[#This Row],[Deaths]]/Table1[[#This Row],[Confirmed]]</f>
        <v>2.8005334349399887E-2</v>
      </c>
      <c r="J23" s="23">
        <f>Table1[[#This Row],[Recovered]]/Table1[[#This Row],[Confirmed]]</f>
        <v>0.46961325966850831</v>
      </c>
      <c r="K23" s="22">
        <f>Table1[[#This Row],[Confirmed]]/Table1[[#This Row],[Population]]</f>
        <v>3.2019276226495663E-3</v>
      </c>
      <c r="L23" s="24" t="str">
        <f>IF(Table1[[#This Row],[Death_Rate]]&gt; 5%,"High_Risk",IF(Table1[[#This Row],[Death_Rate]] &gt;= 2%,"Moderate_Risk","Low_Risk"))</f>
        <v>Moderate_Risk</v>
      </c>
    </row>
    <row r="24" spans="1:12" ht="18" customHeight="1" x14ac:dyDescent="0.25">
      <c r="A24" s="11" t="s">
        <v>27</v>
      </c>
      <c r="B24" s="4">
        <v>739</v>
      </c>
      <c r="C24" s="4">
        <v>2</v>
      </c>
      <c r="D24" s="4">
        <v>63</v>
      </c>
      <c r="E24" s="4">
        <v>674</v>
      </c>
      <c r="F24" s="4">
        <v>2356075</v>
      </c>
      <c r="G24" s="6" t="s">
        <v>197</v>
      </c>
      <c r="H24" s="13">
        <v>43920</v>
      </c>
      <c r="I24" s="22">
        <f>Table1[[#This Row],[Deaths]]/Table1[[#This Row],[Confirmed]]</f>
        <v>2.7063599458728013E-3</v>
      </c>
      <c r="J24" s="23">
        <f>Table1[[#This Row],[Recovered]]/Table1[[#This Row],[Confirmed]]</f>
        <v>8.5250338294993233E-2</v>
      </c>
      <c r="K24" s="22">
        <f>Table1[[#This Row],[Confirmed]]/Table1[[#This Row],[Population]]</f>
        <v>3.1365724775314879E-4</v>
      </c>
      <c r="L24" s="24" t="str">
        <f>IF(Table1[[#This Row],[Death_Rate]]&gt; 5%,"High_Risk",IF(Table1[[#This Row],[Death_Rate]] &gt;= 2%,"Moderate_Risk","Low_Risk"))</f>
        <v>Low_Risk</v>
      </c>
    </row>
    <row r="25" spans="1:12" ht="18" customHeight="1" x14ac:dyDescent="0.25">
      <c r="A25" s="12" t="s">
        <v>28</v>
      </c>
      <c r="B25" s="5">
        <v>2442375</v>
      </c>
      <c r="C25" s="5">
        <v>87618</v>
      </c>
      <c r="D25" s="5">
        <v>1846641</v>
      </c>
      <c r="E25" s="5">
        <v>508116</v>
      </c>
      <c r="F25" s="5">
        <v>212710692</v>
      </c>
      <c r="G25" s="7" t="s">
        <v>199</v>
      </c>
      <c r="H25" s="14">
        <v>43887</v>
      </c>
      <c r="I25" s="22">
        <f>Table1[[#This Row],[Deaths]]/Table1[[#This Row],[Confirmed]]</f>
        <v>3.5874097957930291E-2</v>
      </c>
      <c r="J25" s="23">
        <f>Table1[[#This Row],[Recovered]]/Table1[[#This Row],[Confirmed]]</f>
        <v>0.75608413941348074</v>
      </c>
      <c r="K25" s="22">
        <f>Table1[[#This Row],[Confirmed]]/Table1[[#This Row],[Population]]</f>
        <v>1.1482144959596107E-2</v>
      </c>
      <c r="L25" s="24" t="str">
        <f>IF(Table1[[#This Row],[Death_Rate]]&gt; 5%,"High_Risk",IF(Table1[[#This Row],[Death_Rate]] &gt;= 2%,"Moderate_Risk","Low_Risk"))</f>
        <v>Moderate_Risk</v>
      </c>
    </row>
    <row r="26" spans="1:12" ht="18" customHeight="1" x14ac:dyDescent="0.25">
      <c r="A26" s="11" t="s">
        <v>29</v>
      </c>
      <c r="B26" s="4">
        <v>141</v>
      </c>
      <c r="C26" s="4">
        <v>3</v>
      </c>
      <c r="D26" s="4">
        <v>138</v>
      </c>
      <c r="E26" s="4">
        <v>0</v>
      </c>
      <c r="F26" s="4">
        <v>437893</v>
      </c>
      <c r="G26" s="6" t="s">
        <v>195</v>
      </c>
      <c r="H26" s="13">
        <v>43899</v>
      </c>
      <c r="I26" s="22">
        <f>Table1[[#This Row],[Deaths]]/Table1[[#This Row],[Confirmed]]</f>
        <v>2.1276595744680851E-2</v>
      </c>
      <c r="J26" s="23">
        <f>Table1[[#This Row],[Recovered]]/Table1[[#This Row],[Confirmed]]</f>
        <v>0.97872340425531912</v>
      </c>
      <c r="K26" s="22">
        <f>Table1[[#This Row],[Confirmed]]/Table1[[#This Row],[Population]]</f>
        <v>3.2199646945715047E-4</v>
      </c>
      <c r="L26" s="24" t="str">
        <f>IF(Table1[[#This Row],[Death_Rate]]&gt; 5%,"High_Risk",IF(Table1[[#This Row],[Death_Rate]] &gt;= 2%,"Moderate_Risk","Low_Risk"))</f>
        <v>Moderate_Risk</v>
      </c>
    </row>
    <row r="27" spans="1:12" ht="18" customHeight="1" x14ac:dyDescent="0.25">
      <c r="A27" s="12" t="s">
        <v>30</v>
      </c>
      <c r="B27" s="5">
        <v>10621</v>
      </c>
      <c r="C27" s="5">
        <v>347</v>
      </c>
      <c r="D27" s="5">
        <v>5585</v>
      </c>
      <c r="E27" s="5">
        <v>4689</v>
      </c>
      <c r="F27" s="5">
        <v>6942854</v>
      </c>
      <c r="G27" s="7" t="s">
        <v>196</v>
      </c>
      <c r="H27" s="14">
        <v>43898</v>
      </c>
      <c r="I27" s="22">
        <f>Table1[[#This Row],[Deaths]]/Table1[[#This Row],[Confirmed]]</f>
        <v>3.2671123246398641E-2</v>
      </c>
      <c r="J27" s="23">
        <f>Table1[[#This Row],[Recovered]]/Table1[[#This Row],[Confirmed]]</f>
        <v>0.52584502400903865</v>
      </c>
      <c r="K27" s="22">
        <f>Table1[[#This Row],[Confirmed]]/Table1[[#This Row],[Population]]</f>
        <v>1.5297743550418891E-3</v>
      </c>
      <c r="L27" s="24" t="str">
        <f>IF(Table1[[#This Row],[Death_Rate]]&gt; 5%,"High_Risk",IF(Table1[[#This Row],[Death_Rate]] &gt;= 2%,"Moderate_Risk","Low_Risk"))</f>
        <v>Moderate_Risk</v>
      </c>
    </row>
    <row r="28" spans="1:12" ht="18" customHeight="1" x14ac:dyDescent="0.25">
      <c r="A28" s="11" t="s">
        <v>31</v>
      </c>
      <c r="B28" s="4">
        <v>1100</v>
      </c>
      <c r="C28" s="4">
        <v>53</v>
      </c>
      <c r="D28" s="4">
        <v>926</v>
      </c>
      <c r="E28" s="4">
        <v>121</v>
      </c>
      <c r="F28" s="4">
        <v>20954852</v>
      </c>
      <c r="G28" s="6" t="s">
        <v>197</v>
      </c>
      <c r="H28" s="13">
        <v>43899</v>
      </c>
      <c r="I28" s="22">
        <f>Table1[[#This Row],[Deaths]]/Table1[[#This Row],[Confirmed]]</f>
        <v>4.818181818181818E-2</v>
      </c>
      <c r="J28" s="23">
        <f>Table1[[#This Row],[Recovered]]/Table1[[#This Row],[Confirmed]]</f>
        <v>0.8418181818181818</v>
      </c>
      <c r="K28" s="22">
        <f>Table1[[#This Row],[Confirmed]]/Table1[[#This Row],[Population]]</f>
        <v>5.2493809071044739E-5</v>
      </c>
      <c r="L28" s="24" t="str">
        <f>IF(Table1[[#This Row],[Death_Rate]]&gt; 5%,"High_Risk",IF(Table1[[#This Row],[Death_Rate]] &gt;= 2%,"Moderate_Risk","Low_Risk"))</f>
        <v>Moderate_Risk</v>
      </c>
    </row>
    <row r="29" spans="1:12" ht="18" customHeight="1" x14ac:dyDescent="0.25">
      <c r="A29" s="12" t="s">
        <v>191</v>
      </c>
      <c r="B29" s="5">
        <v>350</v>
      </c>
      <c r="C29" s="5">
        <v>6</v>
      </c>
      <c r="D29" s="5">
        <v>292</v>
      </c>
      <c r="E29" s="5">
        <v>52</v>
      </c>
      <c r="F29" s="5">
        <v>54446389</v>
      </c>
      <c r="G29" s="7" t="s">
        <v>195</v>
      </c>
      <c r="H29" s="14">
        <v>43913</v>
      </c>
      <c r="I29" s="22">
        <f>Table1[[#This Row],[Deaths]]/Table1[[#This Row],[Confirmed]]</f>
        <v>1.7142857142857144E-2</v>
      </c>
      <c r="J29" s="23">
        <f>Table1[[#This Row],[Recovered]]/Table1[[#This Row],[Confirmed]]</f>
        <v>0.8342857142857143</v>
      </c>
      <c r="K29" s="22">
        <f>Table1[[#This Row],[Confirmed]]/Table1[[#This Row],[Population]]</f>
        <v>6.4283418318155129E-6</v>
      </c>
      <c r="L29" s="24" t="str">
        <f>IF(Table1[[#This Row],[Death_Rate]]&gt; 5%,"High_Risk",IF(Table1[[#This Row],[Death_Rate]] &gt;= 2%,"Moderate_Risk","Low_Risk"))</f>
        <v>Low_Risk</v>
      </c>
    </row>
    <row r="30" spans="1:12" ht="18" customHeight="1" x14ac:dyDescent="0.25">
      <c r="A30" s="11" t="s">
        <v>32</v>
      </c>
      <c r="B30" s="4">
        <v>378</v>
      </c>
      <c r="C30" s="4">
        <v>1</v>
      </c>
      <c r="D30" s="4">
        <v>301</v>
      </c>
      <c r="E30" s="4">
        <v>76</v>
      </c>
      <c r="F30" s="4">
        <v>11922216</v>
      </c>
      <c r="G30" s="6" t="s">
        <v>197</v>
      </c>
      <c r="H30" s="13">
        <v>43921</v>
      </c>
      <c r="I30" s="22">
        <f>Table1[[#This Row],[Deaths]]/Table1[[#This Row],[Confirmed]]</f>
        <v>2.6455026455026454E-3</v>
      </c>
      <c r="J30" s="23">
        <f>Table1[[#This Row],[Recovered]]/Table1[[#This Row],[Confirmed]]</f>
        <v>0.79629629629629628</v>
      </c>
      <c r="K30" s="22">
        <f>Table1[[#This Row],[Confirmed]]/Table1[[#This Row],[Population]]</f>
        <v>3.1705515149197092E-5</v>
      </c>
      <c r="L30" s="24" t="str">
        <f>IF(Table1[[#This Row],[Death_Rate]]&gt; 5%,"High_Risk",IF(Table1[[#This Row],[Death_Rate]] &gt;= 2%,"Moderate_Risk","Low_Risk"))</f>
        <v>Low_Risk</v>
      </c>
    </row>
    <row r="31" spans="1:12" ht="18" customHeight="1" x14ac:dyDescent="0.25">
      <c r="A31" s="12" t="s">
        <v>33</v>
      </c>
      <c r="B31" s="5">
        <v>2328</v>
      </c>
      <c r="C31" s="5">
        <v>22</v>
      </c>
      <c r="D31" s="5">
        <v>1550</v>
      </c>
      <c r="E31" s="5">
        <v>756</v>
      </c>
      <c r="F31" s="5">
        <v>556581</v>
      </c>
      <c r="G31" s="7" t="s">
        <v>197</v>
      </c>
      <c r="H31" s="14">
        <v>43910</v>
      </c>
      <c r="I31" s="22">
        <f>Table1[[#This Row],[Deaths]]/Table1[[#This Row],[Confirmed]]</f>
        <v>9.4501718213058413E-3</v>
      </c>
      <c r="J31" s="23">
        <f>Table1[[#This Row],[Recovered]]/Table1[[#This Row],[Confirmed]]</f>
        <v>0.66580756013745701</v>
      </c>
      <c r="K31" s="22">
        <f>Table1[[#This Row],[Confirmed]]/Table1[[#This Row],[Population]]</f>
        <v>4.1826796099759065E-3</v>
      </c>
      <c r="L31" s="24" t="str">
        <f>IF(Table1[[#This Row],[Death_Rate]]&gt; 5%,"High_Risk",IF(Table1[[#This Row],[Death_Rate]] &gt;= 2%,"Moderate_Risk","Low_Risk"))</f>
        <v>Low_Risk</v>
      </c>
    </row>
    <row r="32" spans="1:12" ht="18" customHeight="1" x14ac:dyDescent="0.25">
      <c r="A32" s="11" t="s">
        <v>34</v>
      </c>
      <c r="B32" s="4">
        <v>226</v>
      </c>
      <c r="C32" s="4">
        <v>0</v>
      </c>
      <c r="D32" s="4">
        <v>147</v>
      </c>
      <c r="E32" s="4">
        <v>79</v>
      </c>
      <c r="F32" s="4">
        <v>16741375</v>
      </c>
      <c r="G32" s="6" t="s">
        <v>195</v>
      </c>
      <c r="H32" s="13">
        <v>43857</v>
      </c>
      <c r="I32" s="22">
        <f>Table1[[#This Row],[Deaths]]/Table1[[#This Row],[Confirmed]]</f>
        <v>0</v>
      </c>
      <c r="J32" s="23">
        <f>Table1[[#This Row],[Recovered]]/Table1[[#This Row],[Confirmed]]</f>
        <v>0.65044247787610621</v>
      </c>
      <c r="K32" s="22">
        <f>Table1[[#This Row],[Confirmed]]/Table1[[#This Row],[Population]]</f>
        <v>1.349948854260776E-5</v>
      </c>
      <c r="L32" s="24" t="str">
        <f>IF(Table1[[#This Row],[Death_Rate]]&gt; 5%,"High_Risk",IF(Table1[[#This Row],[Death_Rate]] &gt;= 2%,"Moderate_Risk","Low_Risk"))</f>
        <v>Low_Risk</v>
      </c>
    </row>
    <row r="33" spans="1:12" ht="18" customHeight="1" x14ac:dyDescent="0.25">
      <c r="A33" s="12" t="s">
        <v>35</v>
      </c>
      <c r="B33" s="5">
        <v>17110</v>
      </c>
      <c r="C33" s="5">
        <v>391</v>
      </c>
      <c r="D33" s="5">
        <v>14539</v>
      </c>
      <c r="E33" s="5">
        <v>2180</v>
      </c>
      <c r="F33" s="5">
        <v>26606188</v>
      </c>
      <c r="G33" s="7" t="s">
        <v>197</v>
      </c>
      <c r="H33" s="14">
        <v>43896</v>
      </c>
      <c r="I33" s="22">
        <f>Table1[[#This Row],[Deaths]]/Table1[[#This Row],[Confirmed]]</f>
        <v>2.2852133255406196E-2</v>
      </c>
      <c r="J33" s="23">
        <f>Table1[[#This Row],[Recovered]]/Table1[[#This Row],[Confirmed]]</f>
        <v>0.84973699590882523</v>
      </c>
      <c r="K33" s="22">
        <f>Table1[[#This Row],[Confirmed]]/Table1[[#This Row],[Population]]</f>
        <v>6.4308348118114476E-4</v>
      </c>
      <c r="L33" s="24" t="str">
        <f>IF(Table1[[#This Row],[Death_Rate]]&gt; 5%,"High_Risk",IF(Table1[[#This Row],[Death_Rate]] &gt;= 2%,"Moderate_Risk","Low_Risk"))</f>
        <v>Moderate_Risk</v>
      </c>
    </row>
    <row r="34" spans="1:12" ht="18" customHeight="1" x14ac:dyDescent="0.25">
      <c r="A34" s="11" t="s">
        <v>36</v>
      </c>
      <c r="B34" s="4">
        <v>116458</v>
      </c>
      <c r="C34" s="4">
        <v>8944</v>
      </c>
      <c r="D34" s="4">
        <v>0</v>
      </c>
      <c r="E34" s="4">
        <v>107514</v>
      </c>
      <c r="F34" s="4">
        <v>37775022</v>
      </c>
      <c r="G34" s="6" t="s">
        <v>198</v>
      </c>
      <c r="H34" s="13">
        <v>43855</v>
      </c>
      <c r="I34" s="22">
        <f>Table1[[#This Row],[Deaths]]/Table1[[#This Row],[Confirmed]]</f>
        <v>7.6800219821738305E-2</v>
      </c>
      <c r="J34" s="23">
        <f>Table1[[#This Row],[Recovered]]/Table1[[#This Row],[Confirmed]]</f>
        <v>0</v>
      </c>
      <c r="K34" s="22">
        <f>Table1[[#This Row],[Confirmed]]/Table1[[#This Row],[Population]]</f>
        <v>3.0829366558674672E-3</v>
      </c>
      <c r="L34" s="24" t="str">
        <f>IF(Table1[[#This Row],[Death_Rate]]&gt; 5%,"High_Risk",IF(Table1[[#This Row],[Death_Rate]] &gt;= 2%,"Moderate_Risk","Low_Risk"))</f>
        <v>High_Risk</v>
      </c>
    </row>
    <row r="35" spans="1:12" ht="18" customHeight="1" x14ac:dyDescent="0.25">
      <c r="A35" s="12" t="s">
        <v>37</v>
      </c>
      <c r="B35" s="5">
        <v>4599</v>
      </c>
      <c r="C35" s="5">
        <v>59</v>
      </c>
      <c r="D35" s="5">
        <v>1546</v>
      </c>
      <c r="E35" s="5">
        <v>2994</v>
      </c>
      <c r="F35" s="5">
        <v>4837752</v>
      </c>
      <c r="G35" s="7" t="s">
        <v>197</v>
      </c>
      <c r="H35" s="14">
        <v>43904</v>
      </c>
      <c r="I35" s="22">
        <f>Table1[[#This Row],[Deaths]]/Table1[[#This Row],[Confirmed]]</f>
        <v>1.2828875842574472E-2</v>
      </c>
      <c r="J35" s="23">
        <f>Table1[[#This Row],[Recovered]]/Table1[[#This Row],[Confirmed]]</f>
        <v>0.33616003479017176</v>
      </c>
      <c r="K35" s="22">
        <f>Table1[[#This Row],[Confirmed]]/Table1[[#This Row],[Population]]</f>
        <v>9.5064815228229974E-4</v>
      </c>
      <c r="L35" s="24" t="str">
        <f>IF(Table1[[#This Row],[Death_Rate]]&gt; 5%,"High_Risk",IF(Table1[[#This Row],[Death_Rate]] &gt;= 2%,"Moderate_Risk","Low_Risk"))</f>
        <v>Low_Risk</v>
      </c>
    </row>
    <row r="36" spans="1:12" ht="18" customHeight="1" x14ac:dyDescent="0.25">
      <c r="A36" s="11" t="s">
        <v>38</v>
      </c>
      <c r="B36" s="4">
        <v>922</v>
      </c>
      <c r="C36" s="4">
        <v>75</v>
      </c>
      <c r="D36" s="4">
        <v>810</v>
      </c>
      <c r="E36" s="4">
        <v>37</v>
      </c>
      <c r="F36" s="4" t="s">
        <v>205</v>
      </c>
      <c r="G36" s="6" t="s">
        <v>197</v>
      </c>
      <c r="H36" s="13">
        <v>43909</v>
      </c>
      <c r="I36" s="22">
        <f>Table1[[#This Row],[Deaths]]/Table1[[#This Row],[Confirmed]]</f>
        <v>8.1344902386117135E-2</v>
      </c>
      <c r="J36" s="23">
        <f>Table1[[#This Row],[Recovered]]/Table1[[#This Row],[Confirmed]]</f>
        <v>0.87852494577006512</v>
      </c>
      <c r="K36" s="22" t="e">
        <f>Table1[[#This Row],[Confirmed]]/Table1[[#This Row],[Population]]</f>
        <v>#VALUE!</v>
      </c>
      <c r="L36" s="24" t="str">
        <f>IF(Table1[[#This Row],[Death_Rate]]&gt; 5%,"High_Risk",IF(Table1[[#This Row],[Death_Rate]] &gt;= 2%,"Moderate_Risk","Low_Risk"))</f>
        <v>High_Risk</v>
      </c>
    </row>
    <row r="37" spans="1:12" ht="18" customHeight="1" x14ac:dyDescent="0.25">
      <c r="A37" s="12" t="s">
        <v>39</v>
      </c>
      <c r="B37" s="5">
        <v>347923</v>
      </c>
      <c r="C37" s="5">
        <v>9187</v>
      </c>
      <c r="D37" s="5">
        <v>319954</v>
      </c>
      <c r="E37" s="5">
        <v>18782</v>
      </c>
      <c r="F37" s="5">
        <v>19132514</v>
      </c>
      <c r="G37" s="7" t="s">
        <v>199</v>
      </c>
      <c r="H37" s="14">
        <v>43893</v>
      </c>
      <c r="I37" s="22">
        <f>Table1[[#This Row],[Deaths]]/Table1[[#This Row],[Confirmed]]</f>
        <v>2.6405267832250241E-2</v>
      </c>
      <c r="J37" s="23">
        <f>Table1[[#This Row],[Recovered]]/Table1[[#This Row],[Confirmed]]</f>
        <v>0.91961152323933748</v>
      </c>
      <c r="K37" s="22">
        <f>Table1[[#This Row],[Confirmed]]/Table1[[#This Row],[Population]]</f>
        <v>1.8184907639424697E-2</v>
      </c>
      <c r="L37" s="24" t="str">
        <f>IF(Table1[[#This Row],[Death_Rate]]&gt; 5%,"High_Risk",IF(Table1[[#This Row],[Death_Rate]] &gt;= 2%,"Moderate_Risk","Low_Risk"))</f>
        <v>Moderate_Risk</v>
      </c>
    </row>
    <row r="38" spans="1:12" ht="18" customHeight="1" x14ac:dyDescent="0.25">
      <c r="A38" s="11" t="s">
        <v>40</v>
      </c>
      <c r="B38" s="4">
        <v>86783</v>
      </c>
      <c r="C38" s="4">
        <v>4656</v>
      </c>
      <c r="D38" s="4">
        <v>78869</v>
      </c>
      <c r="E38" s="4">
        <v>3258</v>
      </c>
      <c r="F38" s="4">
        <v>1411778724</v>
      </c>
      <c r="G38" s="6" t="s">
        <v>197</v>
      </c>
      <c r="H38" s="13">
        <v>43786</v>
      </c>
      <c r="I38" s="22">
        <f>Table1[[#This Row],[Deaths]]/Table1[[#This Row],[Confirmed]]</f>
        <v>5.365106069161011E-2</v>
      </c>
      <c r="J38" s="23">
        <f>Table1[[#This Row],[Recovered]]/Table1[[#This Row],[Confirmed]]</f>
        <v>0.90880702441722461</v>
      </c>
      <c r="K38" s="22">
        <f>Table1[[#This Row],[Confirmed]]/Table1[[#This Row],[Population]]</f>
        <v>6.1470681293536756E-5</v>
      </c>
      <c r="L38" s="24" t="str">
        <f>IF(Table1[[#This Row],[Death_Rate]]&gt; 5%,"High_Risk",IF(Table1[[#This Row],[Death_Rate]] &gt;= 2%,"Moderate_Risk","Low_Risk"))</f>
        <v>High_Risk</v>
      </c>
    </row>
    <row r="39" spans="1:12" ht="18" customHeight="1" x14ac:dyDescent="0.25">
      <c r="A39" s="12" t="s">
        <v>41</v>
      </c>
      <c r="B39" s="5">
        <v>257101</v>
      </c>
      <c r="C39" s="5">
        <v>8777</v>
      </c>
      <c r="D39" s="5">
        <v>131161</v>
      </c>
      <c r="E39" s="5">
        <v>117163</v>
      </c>
      <c r="F39" s="5">
        <v>50936262</v>
      </c>
      <c r="G39" s="7" t="s">
        <v>199</v>
      </c>
      <c r="H39" s="14">
        <v>43896</v>
      </c>
      <c r="I39" s="22">
        <f>Table1[[#This Row],[Deaths]]/Table1[[#This Row],[Confirmed]]</f>
        <v>3.4138334740043796E-2</v>
      </c>
      <c r="J39" s="23">
        <f>Table1[[#This Row],[Recovered]]/Table1[[#This Row],[Confirmed]]</f>
        <v>0.51015359722443709</v>
      </c>
      <c r="K39" s="22">
        <f>Table1[[#This Row],[Confirmed]]/Table1[[#This Row],[Population]]</f>
        <v>5.0475042711222119E-3</v>
      </c>
      <c r="L39" s="24" t="str">
        <f>IF(Table1[[#This Row],[Death_Rate]]&gt; 5%,"High_Risk",IF(Table1[[#This Row],[Death_Rate]] &gt;= 2%,"Moderate_Risk","Low_Risk"))</f>
        <v>Moderate_Risk</v>
      </c>
    </row>
    <row r="40" spans="1:12" ht="18" customHeight="1" x14ac:dyDescent="0.25">
      <c r="A40" s="11" t="s">
        <v>42</v>
      </c>
      <c r="B40" s="4">
        <v>354</v>
      </c>
      <c r="C40" s="4">
        <v>7</v>
      </c>
      <c r="D40" s="4">
        <v>328</v>
      </c>
      <c r="E40" s="4">
        <v>19</v>
      </c>
      <c r="F40" s="4">
        <v>871326</v>
      </c>
      <c r="G40" s="6" t="s">
        <v>197</v>
      </c>
      <c r="H40" s="13">
        <v>43951</v>
      </c>
      <c r="I40" s="22">
        <f>Table1[[#This Row],[Deaths]]/Table1[[#This Row],[Confirmed]]</f>
        <v>1.977401129943503E-2</v>
      </c>
      <c r="J40" s="23">
        <f>Table1[[#This Row],[Recovered]]/Table1[[#This Row],[Confirmed]]</f>
        <v>0.92655367231638419</v>
      </c>
      <c r="K40" s="22">
        <f>Table1[[#This Row],[Confirmed]]/Table1[[#This Row],[Population]]</f>
        <v>4.0627732903643414E-4</v>
      </c>
      <c r="L40" s="24" t="str">
        <f>IF(Table1[[#This Row],[Death_Rate]]&gt; 5%,"High_Risk",IF(Table1[[#This Row],[Death_Rate]] &gt;= 2%,"Moderate_Risk","Low_Risk"))</f>
        <v>Low_Risk</v>
      </c>
    </row>
    <row r="41" spans="1:12" ht="18" customHeight="1" x14ac:dyDescent="0.25">
      <c r="A41" s="12" t="s">
        <v>43</v>
      </c>
      <c r="B41" s="5">
        <v>3200</v>
      </c>
      <c r="C41" s="5">
        <v>54</v>
      </c>
      <c r="D41" s="5">
        <v>829</v>
      </c>
      <c r="E41" s="5">
        <v>2317</v>
      </c>
      <c r="F41" s="5">
        <v>5530506</v>
      </c>
      <c r="G41" s="7" t="s">
        <v>197</v>
      </c>
      <c r="H41" s="14">
        <v>43904</v>
      </c>
      <c r="I41" s="22">
        <f>Table1[[#This Row],[Deaths]]/Table1[[#This Row],[Confirmed]]</f>
        <v>1.6875000000000001E-2</v>
      </c>
      <c r="J41" s="23">
        <f>Table1[[#This Row],[Recovered]]/Table1[[#This Row],[Confirmed]]</f>
        <v>0.25906249999999997</v>
      </c>
      <c r="K41" s="22">
        <f>Table1[[#This Row],[Confirmed]]/Table1[[#This Row],[Population]]</f>
        <v>5.7860890124701071E-4</v>
      </c>
      <c r="L41" s="24" t="str">
        <f>IF(Table1[[#This Row],[Death_Rate]]&gt; 5%,"High_Risk",IF(Table1[[#This Row],[Death_Rate]] &gt;= 2%,"Moderate_Risk","Low_Risk"))</f>
        <v>Low_Risk</v>
      </c>
    </row>
    <row r="42" spans="1:12" ht="18" customHeight="1" x14ac:dyDescent="0.25">
      <c r="A42" s="11" t="s">
        <v>44</v>
      </c>
      <c r="B42" s="4">
        <v>8844</v>
      </c>
      <c r="C42" s="4">
        <v>208</v>
      </c>
      <c r="D42" s="4">
        <v>5700</v>
      </c>
      <c r="E42" s="4">
        <v>2936</v>
      </c>
      <c r="F42" s="4">
        <v>96076573</v>
      </c>
      <c r="G42" s="6" t="s">
        <v>197</v>
      </c>
      <c r="H42" s="13">
        <v>43900</v>
      </c>
      <c r="I42" s="22">
        <f>Table1[[#This Row],[Deaths]]/Table1[[#This Row],[Confirmed]]</f>
        <v>2.3518769787426504E-2</v>
      </c>
      <c r="J42" s="23">
        <f>Table1[[#This Row],[Recovered]]/Table1[[#This Row],[Confirmed]]</f>
        <v>0.64450474898236088</v>
      </c>
      <c r="K42" s="22">
        <f>Table1[[#This Row],[Confirmed]]/Table1[[#This Row],[Population]]</f>
        <v>9.2051576402501362E-5</v>
      </c>
      <c r="L42" s="24" t="str">
        <f>IF(Table1[[#This Row],[Death_Rate]]&gt; 5%,"High_Risk",IF(Table1[[#This Row],[Death_Rate]] &gt;= 2%,"Moderate_Risk","Low_Risk"))</f>
        <v>Moderate_Risk</v>
      </c>
    </row>
    <row r="43" spans="1:12" ht="18" customHeight="1" x14ac:dyDescent="0.25">
      <c r="A43" s="12" t="s">
        <v>45</v>
      </c>
      <c r="B43" s="5">
        <v>15841</v>
      </c>
      <c r="C43" s="5">
        <v>115</v>
      </c>
      <c r="D43" s="5">
        <v>3824</v>
      </c>
      <c r="E43" s="5">
        <v>11902</v>
      </c>
      <c r="F43" s="5">
        <v>5098730</v>
      </c>
      <c r="G43" s="7" t="s">
        <v>198</v>
      </c>
      <c r="H43" s="14">
        <v>43896</v>
      </c>
      <c r="I43" s="22">
        <f>Table1[[#This Row],[Deaths]]/Table1[[#This Row],[Confirmed]]</f>
        <v>7.2596426993245377E-3</v>
      </c>
      <c r="J43" s="23">
        <f>Table1[[#This Row],[Recovered]]/Table1[[#This Row],[Confirmed]]</f>
        <v>0.24139890158449592</v>
      </c>
      <c r="K43" s="22">
        <f>Table1[[#This Row],[Confirmed]]/Table1[[#This Row],[Population]]</f>
        <v>3.1068520984637352E-3</v>
      </c>
      <c r="L43" s="24" t="str">
        <f>IF(Table1[[#This Row],[Death_Rate]]&gt; 5%,"High_Risk",IF(Table1[[#This Row],[Death_Rate]] &gt;= 2%,"Moderate_Risk","Low_Risk"))</f>
        <v>Low_Risk</v>
      </c>
    </row>
    <row r="44" spans="1:12" ht="18" customHeight="1" x14ac:dyDescent="0.25">
      <c r="A44" s="11" t="s">
        <v>46</v>
      </c>
      <c r="B44" s="4">
        <v>15655</v>
      </c>
      <c r="C44" s="4">
        <v>96</v>
      </c>
      <c r="D44" s="4">
        <v>10361</v>
      </c>
      <c r="E44" s="4">
        <v>5198</v>
      </c>
      <c r="F44" s="4">
        <v>26172000</v>
      </c>
      <c r="G44" s="6" t="s">
        <v>197</v>
      </c>
      <c r="H44" s="13">
        <v>43901</v>
      </c>
      <c r="I44" s="22">
        <f>Table1[[#This Row],[Deaths]]/Table1[[#This Row],[Confirmed]]</f>
        <v>6.1322261258383902E-3</v>
      </c>
      <c r="J44" s="23">
        <f>Table1[[#This Row],[Recovered]]/Table1[[#This Row],[Confirmed]]</f>
        <v>0.66183328010220377</v>
      </c>
      <c r="K44" s="22">
        <f>Table1[[#This Row],[Confirmed]]/Table1[[#This Row],[Population]]</f>
        <v>5.9815833715421058E-4</v>
      </c>
      <c r="L44" s="24" t="str">
        <f>IF(Table1[[#This Row],[Death_Rate]]&gt; 5%,"High_Risk",IF(Table1[[#This Row],[Death_Rate]] &gt;= 2%,"Moderate_Risk","Low_Risk"))</f>
        <v>Low_Risk</v>
      </c>
    </row>
    <row r="45" spans="1:12" ht="18" customHeight="1" x14ac:dyDescent="0.25">
      <c r="A45" s="12" t="s">
        <v>47</v>
      </c>
      <c r="B45" s="5">
        <v>4881</v>
      </c>
      <c r="C45" s="5">
        <v>139</v>
      </c>
      <c r="D45" s="5">
        <v>3936</v>
      </c>
      <c r="E45" s="5">
        <v>806</v>
      </c>
      <c r="F45" s="5">
        <v>4102577</v>
      </c>
      <c r="G45" s="7" t="s">
        <v>196</v>
      </c>
      <c r="H45" s="14">
        <v>43886</v>
      </c>
      <c r="I45" s="22">
        <f>Table1[[#This Row],[Deaths]]/Table1[[#This Row],[Confirmed]]</f>
        <v>2.8477770948576113E-2</v>
      </c>
      <c r="J45" s="23">
        <f>Table1[[#This Row],[Recovered]]/Table1[[#This Row],[Confirmed]]</f>
        <v>0.80639213275968036</v>
      </c>
      <c r="K45" s="22">
        <f>Table1[[#This Row],[Confirmed]]/Table1[[#This Row],[Population]]</f>
        <v>1.1897400097548444E-3</v>
      </c>
      <c r="L45" s="24" t="str">
        <f>IF(Table1[[#This Row],[Death_Rate]]&gt; 5%,"High_Risk",IF(Table1[[#This Row],[Death_Rate]] &gt;= 2%,"Moderate_Risk","Low_Risk"))</f>
        <v>Moderate_Risk</v>
      </c>
    </row>
    <row r="46" spans="1:12" ht="18" customHeight="1" x14ac:dyDescent="0.25">
      <c r="A46" s="11" t="s">
        <v>48</v>
      </c>
      <c r="B46" s="4">
        <v>2532</v>
      </c>
      <c r="C46" s="4">
        <v>87</v>
      </c>
      <c r="D46" s="4">
        <v>2351</v>
      </c>
      <c r="E46" s="4">
        <v>94</v>
      </c>
      <c r="F46" s="4">
        <v>11325899</v>
      </c>
      <c r="G46" s="6" t="s">
        <v>198</v>
      </c>
      <c r="H46" s="13">
        <v>43901</v>
      </c>
      <c r="I46" s="22">
        <f>Table1[[#This Row],[Deaths]]/Table1[[#This Row],[Confirmed]]</f>
        <v>3.4360189573459717E-2</v>
      </c>
      <c r="J46" s="23">
        <f>Table1[[#This Row],[Recovered]]/Table1[[#This Row],[Confirmed]]</f>
        <v>0.92851500789889418</v>
      </c>
      <c r="K46" s="22">
        <f>Table1[[#This Row],[Confirmed]]/Table1[[#This Row],[Population]]</f>
        <v>2.2355841244920161E-4</v>
      </c>
      <c r="L46" s="24" t="str">
        <f>IF(Table1[[#This Row],[Death_Rate]]&gt; 5%,"High_Risk",IF(Table1[[#This Row],[Death_Rate]] &gt;= 2%,"Moderate_Risk","Low_Risk"))</f>
        <v>Moderate_Risk</v>
      </c>
    </row>
    <row r="47" spans="1:12" ht="18" customHeight="1" x14ac:dyDescent="0.25">
      <c r="A47" s="12" t="s">
        <v>49</v>
      </c>
      <c r="B47" s="5">
        <v>1060</v>
      </c>
      <c r="C47" s="5">
        <v>19</v>
      </c>
      <c r="D47" s="5">
        <v>852</v>
      </c>
      <c r="E47" s="5">
        <v>189</v>
      </c>
      <c r="F47" s="5">
        <v>1208238</v>
      </c>
      <c r="G47" s="7" t="s">
        <v>195</v>
      </c>
      <c r="H47" s="14">
        <v>43899</v>
      </c>
      <c r="I47" s="22">
        <f>Table1[[#This Row],[Deaths]]/Table1[[#This Row],[Confirmed]]</f>
        <v>1.7924528301886792E-2</v>
      </c>
      <c r="J47" s="23">
        <f>Table1[[#This Row],[Recovered]]/Table1[[#This Row],[Confirmed]]</f>
        <v>0.80377358490566042</v>
      </c>
      <c r="K47" s="22">
        <f>Table1[[#This Row],[Confirmed]]/Table1[[#This Row],[Population]]</f>
        <v>8.7731059609116749E-4</v>
      </c>
      <c r="L47" s="24" t="str">
        <f>IF(Table1[[#This Row],[Death_Rate]]&gt; 5%,"High_Risk",IF(Table1[[#This Row],[Death_Rate]] &gt;= 2%,"Moderate_Risk","Low_Risk"))</f>
        <v>Low_Risk</v>
      </c>
    </row>
    <row r="48" spans="1:12" ht="18" customHeight="1" x14ac:dyDescent="0.25">
      <c r="A48" s="11" t="s">
        <v>50</v>
      </c>
      <c r="B48" s="4">
        <v>15516</v>
      </c>
      <c r="C48" s="4">
        <v>373</v>
      </c>
      <c r="D48" s="4">
        <v>11428</v>
      </c>
      <c r="E48" s="4">
        <v>3715</v>
      </c>
      <c r="F48" s="4">
        <v>10711019</v>
      </c>
      <c r="G48" s="6" t="s">
        <v>196</v>
      </c>
      <c r="H48" s="13">
        <v>43891</v>
      </c>
      <c r="I48" s="22">
        <f>Table1[[#This Row],[Deaths]]/Table1[[#This Row],[Confirmed]]</f>
        <v>2.4039700953854087E-2</v>
      </c>
      <c r="J48" s="23">
        <f>Table1[[#This Row],[Recovered]]/Table1[[#This Row],[Confirmed]]</f>
        <v>0.7365300335137922</v>
      </c>
      <c r="K48" s="22">
        <f>Table1[[#This Row],[Confirmed]]/Table1[[#This Row],[Population]]</f>
        <v>1.4486016689915311E-3</v>
      </c>
      <c r="L48" s="24" t="str">
        <f>IF(Table1[[#This Row],[Death_Rate]]&gt; 5%,"High_Risk",IF(Table1[[#This Row],[Death_Rate]] &gt;= 2%,"Moderate_Risk","Low_Risk"))</f>
        <v>Moderate_Risk</v>
      </c>
    </row>
    <row r="49" spans="1:12" ht="18" customHeight="1" x14ac:dyDescent="0.25">
      <c r="A49" s="12" t="s">
        <v>51</v>
      </c>
      <c r="B49" s="5">
        <v>13761</v>
      </c>
      <c r="C49" s="5">
        <v>613</v>
      </c>
      <c r="D49" s="5">
        <v>12605</v>
      </c>
      <c r="E49" s="5">
        <v>543</v>
      </c>
      <c r="F49" s="5">
        <v>5794279</v>
      </c>
      <c r="G49" s="7" t="s">
        <v>196</v>
      </c>
      <c r="H49" s="14">
        <v>43888</v>
      </c>
      <c r="I49" s="22">
        <f>Table1[[#This Row],[Deaths]]/Table1[[#This Row],[Confirmed]]</f>
        <v>4.454618123682872E-2</v>
      </c>
      <c r="J49" s="23">
        <f>Table1[[#This Row],[Recovered]]/Table1[[#This Row],[Confirmed]]</f>
        <v>0.91599447714555626</v>
      </c>
      <c r="K49" s="22">
        <f>Table1[[#This Row],[Confirmed]]/Table1[[#This Row],[Population]]</f>
        <v>2.3749287875160997E-3</v>
      </c>
      <c r="L49" s="24" t="str">
        <f>IF(Table1[[#This Row],[Death_Rate]]&gt; 5%,"High_Risk",IF(Table1[[#This Row],[Death_Rate]] &gt;= 2%,"Moderate_Risk","Low_Risk"))</f>
        <v>Moderate_Risk</v>
      </c>
    </row>
    <row r="50" spans="1:12" ht="18" customHeight="1" x14ac:dyDescent="0.25">
      <c r="A50" s="11" t="s">
        <v>52</v>
      </c>
      <c r="B50" s="4">
        <v>5059</v>
      </c>
      <c r="C50" s="4">
        <v>58</v>
      </c>
      <c r="D50" s="4">
        <v>4977</v>
      </c>
      <c r="E50" s="4">
        <v>24</v>
      </c>
      <c r="F50" s="4">
        <v>989387</v>
      </c>
      <c r="G50" s="6" t="s">
        <v>197</v>
      </c>
      <c r="H50" s="13">
        <v>43908</v>
      </c>
      <c r="I50" s="22">
        <f>Table1[[#This Row],[Deaths]]/Table1[[#This Row],[Confirmed]]</f>
        <v>1.1464716347104172E-2</v>
      </c>
      <c r="J50" s="23">
        <f>Table1[[#This Row],[Recovered]]/Table1[[#This Row],[Confirmed]]</f>
        <v>0.98379126309547338</v>
      </c>
      <c r="K50" s="22">
        <f>Table1[[#This Row],[Confirmed]]/Table1[[#This Row],[Population]]</f>
        <v>5.1132671037723357E-3</v>
      </c>
      <c r="L50" s="24" t="str">
        <f>IF(Table1[[#This Row],[Death_Rate]]&gt; 5%,"High_Risk",IF(Table1[[#This Row],[Death_Rate]] &gt;= 2%,"Moderate_Risk","Low_Risk"))</f>
        <v>Low_Risk</v>
      </c>
    </row>
    <row r="51" spans="1:12" ht="18" customHeight="1" x14ac:dyDescent="0.25">
      <c r="A51" s="12" t="s">
        <v>53</v>
      </c>
      <c r="B51" s="5">
        <v>18</v>
      </c>
      <c r="C51" s="5">
        <v>0</v>
      </c>
      <c r="D51" s="5">
        <v>18</v>
      </c>
      <c r="E51" s="5">
        <v>0</v>
      </c>
      <c r="F51" s="5">
        <v>72004</v>
      </c>
      <c r="G51" s="7" t="s">
        <v>198</v>
      </c>
      <c r="H51" s="14">
        <v>43912</v>
      </c>
      <c r="I51" s="22">
        <f>Table1[[#This Row],[Deaths]]/Table1[[#This Row],[Confirmed]]</f>
        <v>0</v>
      </c>
      <c r="J51" s="23">
        <f>Table1[[#This Row],[Recovered]]/Table1[[#This Row],[Confirmed]]</f>
        <v>1</v>
      </c>
      <c r="K51" s="22">
        <f>Table1[[#This Row],[Confirmed]]/Table1[[#This Row],[Population]]</f>
        <v>2.4998611188267316E-4</v>
      </c>
      <c r="L51" s="24" t="str">
        <f>IF(Table1[[#This Row],[Death_Rate]]&gt; 5%,"High_Risk",IF(Table1[[#This Row],[Death_Rate]] &gt;= 2%,"Moderate_Risk","Low_Risk"))</f>
        <v>Low_Risk</v>
      </c>
    </row>
    <row r="52" spans="1:12" ht="18" customHeight="1" x14ac:dyDescent="0.25">
      <c r="A52" s="11" t="s">
        <v>54</v>
      </c>
      <c r="B52" s="4">
        <v>64156</v>
      </c>
      <c r="C52" s="4">
        <v>1083</v>
      </c>
      <c r="D52" s="4">
        <v>30204</v>
      </c>
      <c r="E52" s="4">
        <v>32869</v>
      </c>
      <c r="F52" s="4">
        <v>10858648</v>
      </c>
      <c r="G52" s="6" t="s">
        <v>198</v>
      </c>
      <c r="H52" s="13">
        <v>43891</v>
      </c>
      <c r="I52" s="22">
        <f>Table1[[#This Row],[Deaths]]/Table1[[#This Row],[Confirmed]]</f>
        <v>1.688072822495168E-2</v>
      </c>
      <c r="J52" s="23">
        <f>Table1[[#This Row],[Recovered]]/Table1[[#This Row],[Confirmed]]</f>
        <v>0.47078994949809838</v>
      </c>
      <c r="K52" s="22">
        <f>Table1[[#This Row],[Confirmed]]/Table1[[#This Row],[Population]]</f>
        <v>5.9082861881147638E-3</v>
      </c>
      <c r="L52" s="24" t="str">
        <f>IF(Table1[[#This Row],[Death_Rate]]&gt; 5%,"High_Risk",IF(Table1[[#This Row],[Death_Rate]] &gt;= 2%,"Moderate_Risk","Low_Risk"))</f>
        <v>Low_Risk</v>
      </c>
    </row>
    <row r="53" spans="1:12" ht="18" customHeight="1" x14ac:dyDescent="0.25">
      <c r="A53" s="12" t="s">
        <v>55</v>
      </c>
      <c r="B53" s="5">
        <v>81161</v>
      </c>
      <c r="C53" s="5">
        <v>5532</v>
      </c>
      <c r="D53" s="5">
        <v>34896</v>
      </c>
      <c r="E53" s="5">
        <v>40733</v>
      </c>
      <c r="F53" s="5">
        <v>17668824</v>
      </c>
      <c r="G53" s="7" t="s">
        <v>199</v>
      </c>
      <c r="H53" s="14">
        <v>43890</v>
      </c>
      <c r="I53" s="22">
        <f>Table1[[#This Row],[Deaths]]/Table1[[#This Row],[Confirmed]]</f>
        <v>6.8160816155542689E-2</v>
      </c>
      <c r="J53" s="23">
        <f>Table1[[#This Row],[Recovered]]/Table1[[#This Row],[Confirmed]]</f>
        <v>0.42996020256034301</v>
      </c>
      <c r="K53" s="22">
        <f>Table1[[#This Row],[Confirmed]]/Table1[[#This Row],[Population]]</f>
        <v>4.5934579460410038E-3</v>
      </c>
      <c r="L53" s="24" t="str">
        <f>IF(Table1[[#This Row],[Death_Rate]]&gt; 5%,"High_Risk",IF(Table1[[#This Row],[Death_Rate]] &gt;= 2%,"Moderate_Risk","Low_Risk"))</f>
        <v>High_Risk</v>
      </c>
    </row>
    <row r="54" spans="1:12" ht="18" customHeight="1" x14ac:dyDescent="0.25">
      <c r="A54" s="11" t="s">
        <v>56</v>
      </c>
      <c r="B54" s="4">
        <v>92482</v>
      </c>
      <c r="C54" s="4">
        <v>4652</v>
      </c>
      <c r="D54" s="4">
        <v>34838</v>
      </c>
      <c r="E54" s="4">
        <v>52992</v>
      </c>
      <c r="F54" s="4">
        <v>102516525</v>
      </c>
      <c r="G54" s="6" t="s">
        <v>197</v>
      </c>
      <c r="H54" s="13">
        <v>43875</v>
      </c>
      <c r="I54" s="22">
        <f>Table1[[#This Row],[Deaths]]/Table1[[#This Row],[Confirmed]]</f>
        <v>5.0301680326982547E-2</v>
      </c>
      <c r="J54" s="23">
        <f>Table1[[#This Row],[Recovered]]/Table1[[#This Row],[Confirmed]]</f>
        <v>0.37670033087519733</v>
      </c>
      <c r="K54" s="22">
        <f>Table1[[#This Row],[Confirmed]]/Table1[[#This Row],[Population]]</f>
        <v>9.0211797561417541E-4</v>
      </c>
      <c r="L54" s="24" t="str">
        <f>IF(Table1[[#This Row],[Death_Rate]]&gt; 5%,"High_Risk",IF(Table1[[#This Row],[Death_Rate]] &gt;= 2%,"Moderate_Risk","Low_Risk"))</f>
        <v>High_Risk</v>
      </c>
    </row>
    <row r="55" spans="1:12" ht="18" customHeight="1" x14ac:dyDescent="0.25">
      <c r="A55" s="12" t="s">
        <v>57</v>
      </c>
      <c r="B55" s="5">
        <v>15035</v>
      </c>
      <c r="C55" s="5">
        <v>408</v>
      </c>
      <c r="D55" s="5">
        <v>7778</v>
      </c>
      <c r="E55" s="5">
        <v>6849</v>
      </c>
      <c r="F55" s="5">
        <v>6489514</v>
      </c>
      <c r="G55" s="7" t="s">
        <v>198</v>
      </c>
      <c r="H55" s="14">
        <v>43909</v>
      </c>
      <c r="I55" s="22">
        <f>Table1[[#This Row],[Deaths]]/Table1[[#This Row],[Confirmed]]</f>
        <v>2.7136681077485868E-2</v>
      </c>
      <c r="J55" s="23">
        <f>Table1[[#This Row],[Recovered]]/Table1[[#This Row],[Confirmed]]</f>
        <v>0.51732623877618888</v>
      </c>
      <c r="K55" s="22">
        <f>Table1[[#This Row],[Confirmed]]/Table1[[#This Row],[Population]]</f>
        <v>2.3168144794818227E-3</v>
      </c>
      <c r="L55" s="24" t="str">
        <f>IF(Table1[[#This Row],[Death_Rate]]&gt; 5%,"High_Risk",IF(Table1[[#This Row],[Death_Rate]] &gt;= 2%,"Moderate_Risk","Low_Risk"))</f>
        <v>Moderate_Risk</v>
      </c>
    </row>
    <row r="56" spans="1:12" ht="18" customHeight="1" x14ac:dyDescent="0.25">
      <c r="A56" s="11" t="s">
        <v>58</v>
      </c>
      <c r="B56" s="4">
        <v>3071</v>
      </c>
      <c r="C56" s="4">
        <v>51</v>
      </c>
      <c r="D56" s="4">
        <v>842</v>
      </c>
      <c r="E56" s="4">
        <v>2178</v>
      </c>
      <c r="F56" s="4">
        <v>1407001</v>
      </c>
      <c r="G56" s="6" t="s">
        <v>197</v>
      </c>
      <c r="H56" s="13">
        <v>43904</v>
      </c>
      <c r="I56" s="22">
        <f>Table1[[#This Row],[Deaths]]/Table1[[#This Row],[Confirmed]]</f>
        <v>1.6606968414197329E-2</v>
      </c>
      <c r="J56" s="23">
        <f>Table1[[#This Row],[Recovered]]/Table1[[#This Row],[Confirmed]]</f>
        <v>0.27417779225008143</v>
      </c>
      <c r="K56" s="22">
        <f>Table1[[#This Row],[Confirmed]]/Table1[[#This Row],[Population]]</f>
        <v>2.1826565865980196E-3</v>
      </c>
      <c r="L56" s="24" t="str">
        <f>IF(Table1[[#This Row],[Death_Rate]]&gt; 5%,"High_Risk",IF(Table1[[#This Row],[Death_Rate]] &gt;= 2%,"Moderate_Risk","Low_Risk"))</f>
        <v>Low_Risk</v>
      </c>
    </row>
    <row r="57" spans="1:12" ht="18" customHeight="1" x14ac:dyDescent="0.25">
      <c r="A57" s="12" t="s">
        <v>59</v>
      </c>
      <c r="B57" s="5">
        <v>265</v>
      </c>
      <c r="C57" s="5">
        <v>0</v>
      </c>
      <c r="D57" s="5">
        <v>191</v>
      </c>
      <c r="E57" s="5">
        <v>74</v>
      </c>
      <c r="F57" s="5">
        <v>3551175</v>
      </c>
      <c r="G57" s="7" t="s">
        <v>197</v>
      </c>
      <c r="H57" s="14">
        <v>43911</v>
      </c>
      <c r="I57" s="22">
        <f>Table1[[#This Row],[Deaths]]/Table1[[#This Row],[Confirmed]]</f>
        <v>0</v>
      </c>
      <c r="J57" s="23">
        <f>Table1[[#This Row],[Recovered]]/Table1[[#This Row],[Confirmed]]</f>
        <v>0.72075471698113203</v>
      </c>
      <c r="K57" s="22">
        <f>Table1[[#This Row],[Confirmed]]/Table1[[#This Row],[Population]]</f>
        <v>7.4623188099713479E-5</v>
      </c>
      <c r="L57" s="24" t="str">
        <f>IF(Table1[[#This Row],[Death_Rate]]&gt; 5%,"High_Risk",IF(Table1[[#This Row],[Death_Rate]] &gt;= 2%,"Moderate_Risk","Low_Risk"))</f>
        <v>Low_Risk</v>
      </c>
    </row>
    <row r="58" spans="1:12" ht="18" customHeight="1" x14ac:dyDescent="0.25">
      <c r="A58" s="11" t="s">
        <v>60</v>
      </c>
      <c r="B58" s="4">
        <v>2034</v>
      </c>
      <c r="C58" s="4">
        <v>69</v>
      </c>
      <c r="D58" s="4">
        <v>1923</v>
      </c>
      <c r="E58" s="4">
        <v>42</v>
      </c>
      <c r="F58" s="4">
        <v>1326627</v>
      </c>
      <c r="G58" s="6" t="s">
        <v>196</v>
      </c>
      <c r="H58" s="13">
        <v>43888</v>
      </c>
      <c r="I58" s="22">
        <f>Table1[[#This Row],[Deaths]]/Table1[[#This Row],[Confirmed]]</f>
        <v>3.3923303834808259E-2</v>
      </c>
      <c r="J58" s="23">
        <f>Table1[[#This Row],[Recovered]]/Table1[[#This Row],[Confirmed]]</f>
        <v>0.94542772861356927</v>
      </c>
      <c r="K58" s="22">
        <f>Table1[[#This Row],[Confirmed]]/Table1[[#This Row],[Population]]</f>
        <v>1.5332116714042456E-3</v>
      </c>
      <c r="L58" s="24" t="str">
        <f>IF(Table1[[#This Row],[Death_Rate]]&gt; 5%,"High_Risk",IF(Table1[[#This Row],[Death_Rate]] &gt;= 2%,"Moderate_Risk","Low_Risk"))</f>
        <v>Moderate_Risk</v>
      </c>
    </row>
    <row r="59" spans="1:12" ht="18" customHeight="1" x14ac:dyDescent="0.25">
      <c r="A59" s="12" t="s">
        <v>61</v>
      </c>
      <c r="B59" s="5">
        <v>2316</v>
      </c>
      <c r="C59" s="5">
        <v>34</v>
      </c>
      <c r="D59" s="5">
        <v>1025</v>
      </c>
      <c r="E59" s="5">
        <v>1257</v>
      </c>
      <c r="F59" s="5">
        <v>1161348</v>
      </c>
      <c r="G59" s="7" t="s">
        <v>197</v>
      </c>
      <c r="H59" s="14">
        <v>43904</v>
      </c>
      <c r="I59" s="22">
        <f>Table1[[#This Row],[Deaths]]/Table1[[#This Row],[Confirmed]]</f>
        <v>1.468048359240069E-2</v>
      </c>
      <c r="J59" s="23">
        <f>Table1[[#This Row],[Recovered]]/Table1[[#This Row],[Confirmed]]</f>
        <v>0.442573402417962</v>
      </c>
      <c r="K59" s="22">
        <f>Table1[[#This Row],[Confirmed]]/Table1[[#This Row],[Population]]</f>
        <v>1.9942342863637774E-3</v>
      </c>
      <c r="L59" s="24" t="str">
        <f>IF(Table1[[#This Row],[Death_Rate]]&gt; 5%,"High_Risk",IF(Table1[[#This Row],[Death_Rate]] &gt;= 2%,"Moderate_Risk","Low_Risk"))</f>
        <v>Low_Risk</v>
      </c>
    </row>
    <row r="60" spans="1:12" ht="18" customHeight="1" x14ac:dyDescent="0.25">
      <c r="A60" s="11" t="s">
        <v>62</v>
      </c>
      <c r="B60" s="4">
        <v>14547</v>
      </c>
      <c r="C60" s="4">
        <v>228</v>
      </c>
      <c r="D60" s="4">
        <v>6386</v>
      </c>
      <c r="E60" s="4">
        <v>7933</v>
      </c>
      <c r="F60" s="4">
        <v>115223736</v>
      </c>
      <c r="G60" s="6" t="s">
        <v>197</v>
      </c>
      <c r="H60" s="13">
        <v>43903</v>
      </c>
      <c r="I60" s="22">
        <f>Table1[[#This Row],[Deaths]]/Table1[[#This Row],[Confirmed]]</f>
        <v>1.5673334708187256E-2</v>
      </c>
      <c r="J60" s="23">
        <f>Table1[[#This Row],[Recovered]]/Table1[[#This Row],[Confirmed]]</f>
        <v>0.43899085722142023</v>
      </c>
      <c r="K60" s="22">
        <f>Table1[[#This Row],[Confirmed]]/Table1[[#This Row],[Population]]</f>
        <v>1.2625002890029533E-4</v>
      </c>
      <c r="L60" s="24" t="str">
        <f>IF(Table1[[#This Row],[Death_Rate]]&gt; 5%,"High_Risk",IF(Table1[[#This Row],[Death_Rate]] &gt;= 2%,"Moderate_Risk","Low_Risk"))</f>
        <v>Low_Risk</v>
      </c>
    </row>
    <row r="61" spans="1:12" ht="18" customHeight="1" x14ac:dyDescent="0.25">
      <c r="A61" s="12" t="s">
        <v>63</v>
      </c>
      <c r="B61" s="5">
        <v>27</v>
      </c>
      <c r="C61" s="5">
        <v>0</v>
      </c>
      <c r="D61" s="5">
        <v>18</v>
      </c>
      <c r="E61" s="5">
        <v>9</v>
      </c>
      <c r="F61" s="5">
        <v>897095</v>
      </c>
      <c r="G61" s="7" t="s">
        <v>200</v>
      </c>
      <c r="H61" s="14">
        <v>43909</v>
      </c>
      <c r="I61" s="22">
        <f>Table1[[#This Row],[Deaths]]/Table1[[#This Row],[Confirmed]]</f>
        <v>0</v>
      </c>
      <c r="J61" s="23">
        <f>Table1[[#This Row],[Recovered]]/Table1[[#This Row],[Confirmed]]</f>
        <v>0.66666666666666663</v>
      </c>
      <c r="K61" s="22">
        <f>Table1[[#This Row],[Confirmed]]/Table1[[#This Row],[Population]]</f>
        <v>3.0097146901944609E-5</v>
      </c>
      <c r="L61" s="24" t="str">
        <f>IF(Table1[[#This Row],[Death_Rate]]&gt; 5%,"High_Risk",IF(Table1[[#This Row],[Death_Rate]] &gt;= 2%,"Moderate_Risk","Low_Risk"))</f>
        <v>Low_Risk</v>
      </c>
    </row>
    <row r="62" spans="1:12" ht="18" customHeight="1" x14ac:dyDescent="0.25">
      <c r="A62" s="11" t="s">
        <v>64</v>
      </c>
      <c r="B62" s="4">
        <v>7398</v>
      </c>
      <c r="C62" s="4">
        <v>329</v>
      </c>
      <c r="D62" s="4">
        <v>6920</v>
      </c>
      <c r="E62" s="4">
        <v>149</v>
      </c>
      <c r="F62" s="4">
        <v>5541604</v>
      </c>
      <c r="G62" s="6" t="s">
        <v>196</v>
      </c>
      <c r="H62" s="13">
        <v>43887</v>
      </c>
      <c r="I62" s="22">
        <f>Table1[[#This Row],[Deaths]]/Table1[[#This Row],[Confirmed]]</f>
        <v>4.4471478778048121E-2</v>
      </c>
      <c r="J62" s="23">
        <f>Table1[[#This Row],[Recovered]]/Table1[[#This Row],[Confirmed]]</f>
        <v>0.93538794268721281</v>
      </c>
      <c r="K62" s="22">
        <f>Table1[[#This Row],[Confirmed]]/Table1[[#This Row],[Population]]</f>
        <v>1.334992540066017E-3</v>
      </c>
      <c r="L62" s="24" t="str">
        <f>IF(Table1[[#This Row],[Death_Rate]]&gt; 5%,"High_Risk",IF(Table1[[#This Row],[Death_Rate]] &gt;= 2%,"Moderate_Risk","Low_Risk"))</f>
        <v>Moderate_Risk</v>
      </c>
    </row>
    <row r="63" spans="1:12" ht="18" customHeight="1" x14ac:dyDescent="0.25">
      <c r="A63" s="12" t="s">
        <v>65</v>
      </c>
      <c r="B63" s="5">
        <v>220352</v>
      </c>
      <c r="C63" s="5">
        <v>30212</v>
      </c>
      <c r="D63" s="5">
        <v>81212</v>
      </c>
      <c r="E63" s="5">
        <v>108928</v>
      </c>
      <c r="F63" s="5">
        <v>65288306</v>
      </c>
      <c r="G63" s="7" t="s">
        <v>196</v>
      </c>
      <c r="H63" s="14">
        <v>43826</v>
      </c>
      <c r="I63" s="22">
        <f>Table1[[#This Row],[Deaths]]/Table1[[#This Row],[Confirmed]]</f>
        <v>0.13710790008713331</v>
      </c>
      <c r="J63" s="23">
        <f>Table1[[#This Row],[Recovered]]/Table1[[#This Row],[Confirmed]]</f>
        <v>0.36855576532094103</v>
      </c>
      <c r="K63" s="22">
        <f>Table1[[#This Row],[Confirmed]]/Table1[[#This Row],[Population]]</f>
        <v>3.3750607650932158E-3</v>
      </c>
      <c r="L63" s="24" t="str">
        <f>IF(Table1[[#This Row],[Death_Rate]]&gt; 5%,"High_Risk",IF(Table1[[#This Row],[Death_Rate]] &gt;= 2%,"Moderate_Risk","Low_Risk"))</f>
        <v>High_Risk</v>
      </c>
    </row>
    <row r="64" spans="1:12" ht="18" customHeight="1" x14ac:dyDescent="0.25">
      <c r="A64" s="11" t="s">
        <v>66</v>
      </c>
      <c r="B64" s="4">
        <v>7189</v>
      </c>
      <c r="C64" s="4">
        <v>49</v>
      </c>
      <c r="D64" s="4">
        <v>4682</v>
      </c>
      <c r="E64" s="4">
        <v>2458</v>
      </c>
      <c r="F64" s="4">
        <v>2230563</v>
      </c>
      <c r="G64" s="6" t="s">
        <v>197</v>
      </c>
      <c r="H64" s="13">
        <v>43902</v>
      </c>
      <c r="I64" s="22">
        <f>Table1[[#This Row],[Deaths]]/Table1[[#This Row],[Confirmed]]</f>
        <v>6.815968841285297E-3</v>
      </c>
      <c r="J64" s="23">
        <f>Table1[[#This Row],[Recovered]]/Table1[[#This Row],[Confirmed]]</f>
        <v>0.65127277785505633</v>
      </c>
      <c r="K64" s="22">
        <f>Table1[[#This Row],[Confirmed]]/Table1[[#This Row],[Population]]</f>
        <v>3.2229531288737417E-3</v>
      </c>
      <c r="L64" s="24" t="str">
        <f>IF(Table1[[#This Row],[Death_Rate]]&gt; 5%,"High_Risk",IF(Table1[[#This Row],[Death_Rate]] &gt;= 2%,"Moderate_Risk","Low_Risk"))</f>
        <v>Low_Risk</v>
      </c>
    </row>
    <row r="65" spans="1:12" ht="18" customHeight="1" x14ac:dyDescent="0.25">
      <c r="A65" s="12" t="s">
        <v>67</v>
      </c>
      <c r="B65" s="5">
        <v>326</v>
      </c>
      <c r="C65" s="5">
        <v>8</v>
      </c>
      <c r="D65" s="5">
        <v>66</v>
      </c>
      <c r="E65" s="5">
        <v>252</v>
      </c>
      <c r="F65" s="5">
        <v>2422754</v>
      </c>
      <c r="G65" s="7" t="s">
        <v>197</v>
      </c>
      <c r="H65" s="14">
        <v>43907</v>
      </c>
      <c r="I65" s="22">
        <f>Table1[[#This Row],[Deaths]]/Table1[[#This Row],[Confirmed]]</f>
        <v>2.4539877300613498E-2</v>
      </c>
      <c r="J65" s="23">
        <f>Table1[[#This Row],[Recovered]]/Table1[[#This Row],[Confirmed]]</f>
        <v>0.20245398773006135</v>
      </c>
      <c r="K65" s="22">
        <f>Table1[[#This Row],[Confirmed]]/Table1[[#This Row],[Population]]</f>
        <v>1.345576150116768E-4</v>
      </c>
      <c r="L65" s="24" t="str">
        <f>IF(Table1[[#This Row],[Death_Rate]]&gt; 5%,"High_Risk",IF(Table1[[#This Row],[Death_Rate]] &gt;= 2%,"Moderate_Risk","Low_Risk"))</f>
        <v>Moderate_Risk</v>
      </c>
    </row>
    <row r="66" spans="1:12" ht="18" customHeight="1" x14ac:dyDescent="0.25">
      <c r="A66" s="11" t="s">
        <v>68</v>
      </c>
      <c r="B66" s="4">
        <v>1137</v>
      </c>
      <c r="C66" s="4">
        <v>16</v>
      </c>
      <c r="D66" s="4">
        <v>922</v>
      </c>
      <c r="E66" s="4">
        <v>199</v>
      </c>
      <c r="F66" s="4">
        <v>3988368</v>
      </c>
      <c r="G66" s="6" t="s">
        <v>195</v>
      </c>
      <c r="H66" s="13">
        <v>43887</v>
      </c>
      <c r="I66" s="22">
        <f>Table1[[#This Row],[Deaths]]/Table1[[#This Row],[Confirmed]]</f>
        <v>1.4072119613016711E-2</v>
      </c>
      <c r="J66" s="23">
        <f>Table1[[#This Row],[Recovered]]/Table1[[#This Row],[Confirmed]]</f>
        <v>0.81090589270008795</v>
      </c>
      <c r="K66" s="22">
        <f>Table1[[#This Row],[Confirmed]]/Table1[[#This Row],[Population]]</f>
        <v>2.8507900976038319E-4</v>
      </c>
      <c r="L66" s="24" t="str">
        <f>IF(Table1[[#This Row],[Death_Rate]]&gt; 5%,"High_Risk",IF(Table1[[#This Row],[Death_Rate]] &gt;= 2%,"Moderate_Risk","Low_Risk"))</f>
        <v>Low_Risk</v>
      </c>
    </row>
    <row r="67" spans="1:12" ht="18" customHeight="1" x14ac:dyDescent="0.25">
      <c r="A67" s="12" t="s">
        <v>69</v>
      </c>
      <c r="B67" s="5">
        <v>207112</v>
      </c>
      <c r="C67" s="5">
        <v>9125</v>
      </c>
      <c r="D67" s="5">
        <v>190314</v>
      </c>
      <c r="E67" s="5">
        <v>7673</v>
      </c>
      <c r="F67" s="5">
        <v>83811260</v>
      </c>
      <c r="G67" s="7" t="s">
        <v>196</v>
      </c>
      <c r="H67" s="14">
        <v>43857</v>
      </c>
      <c r="I67" s="22">
        <f>Table1[[#This Row],[Deaths]]/Table1[[#This Row],[Confirmed]]</f>
        <v>4.4058287303487965E-2</v>
      </c>
      <c r="J67" s="23">
        <f>Table1[[#This Row],[Recovered]]/Table1[[#This Row],[Confirmed]]</f>
        <v>0.91889412491791878</v>
      </c>
      <c r="K67" s="22">
        <f>Table1[[#This Row],[Confirmed]]/Table1[[#This Row],[Population]]</f>
        <v>2.4711715347078664E-3</v>
      </c>
      <c r="L67" s="24" t="str">
        <f>IF(Table1[[#This Row],[Death_Rate]]&gt; 5%,"High_Risk",IF(Table1[[#This Row],[Death_Rate]] &gt;= 2%,"Moderate_Risk","Low_Risk"))</f>
        <v>Moderate_Risk</v>
      </c>
    </row>
    <row r="68" spans="1:12" ht="18" customHeight="1" x14ac:dyDescent="0.25">
      <c r="A68" s="11" t="s">
        <v>70</v>
      </c>
      <c r="B68" s="4">
        <v>33624</v>
      </c>
      <c r="C68" s="4">
        <v>168</v>
      </c>
      <c r="D68" s="4">
        <v>29801</v>
      </c>
      <c r="E68" s="4">
        <v>3655</v>
      </c>
      <c r="F68" s="4">
        <v>31133483</v>
      </c>
      <c r="G68" s="6" t="s">
        <v>197</v>
      </c>
      <c r="H68" s="13">
        <v>43902</v>
      </c>
      <c r="I68" s="22">
        <f>Table1[[#This Row],[Deaths]]/Table1[[#This Row],[Confirmed]]</f>
        <v>4.9964311206281229E-3</v>
      </c>
      <c r="J68" s="23">
        <f>Table1[[#This Row],[Recovered]]/Table1[[#This Row],[Confirmed]]</f>
        <v>0.88630145134427785</v>
      </c>
      <c r="K68" s="22">
        <f>Table1[[#This Row],[Confirmed]]/Table1[[#This Row],[Population]]</f>
        <v>1.0799948081620036E-3</v>
      </c>
      <c r="L68" s="24" t="str">
        <f>IF(Table1[[#This Row],[Death_Rate]]&gt; 5%,"High_Risk",IF(Table1[[#This Row],[Death_Rate]] &gt;= 2%,"Moderate_Risk","Low_Risk"))</f>
        <v>Low_Risk</v>
      </c>
    </row>
    <row r="69" spans="1:12" ht="18" customHeight="1" x14ac:dyDescent="0.25">
      <c r="A69" s="12" t="s">
        <v>71</v>
      </c>
      <c r="B69" s="5">
        <v>4227</v>
      </c>
      <c r="C69" s="5">
        <v>202</v>
      </c>
      <c r="D69" s="5">
        <v>1374</v>
      </c>
      <c r="E69" s="5">
        <v>2651</v>
      </c>
      <c r="F69" s="5">
        <v>10417673</v>
      </c>
      <c r="G69" s="7" t="s">
        <v>196</v>
      </c>
      <c r="H69" s="14">
        <v>43887</v>
      </c>
      <c r="I69" s="22">
        <f>Table1[[#This Row],[Deaths]]/Table1[[#This Row],[Confirmed]]</f>
        <v>4.7788029335225926E-2</v>
      </c>
      <c r="J69" s="23">
        <f>Table1[[#This Row],[Recovered]]/Table1[[#This Row],[Confirmed]]</f>
        <v>0.32505322924059615</v>
      </c>
      <c r="K69" s="22">
        <f>Table1[[#This Row],[Confirmed]]/Table1[[#This Row],[Population]]</f>
        <v>4.0575280103339776E-4</v>
      </c>
      <c r="L69" s="24" t="str">
        <f>IF(Table1[[#This Row],[Death_Rate]]&gt; 5%,"High_Risk",IF(Table1[[#This Row],[Death_Rate]] &gt;= 2%,"Moderate_Risk","Low_Risk"))</f>
        <v>Moderate_Risk</v>
      </c>
    </row>
    <row r="70" spans="1:12" ht="18" customHeight="1" x14ac:dyDescent="0.25">
      <c r="A70" s="11" t="s">
        <v>72</v>
      </c>
      <c r="B70" s="4">
        <v>14</v>
      </c>
      <c r="C70" s="4">
        <v>0</v>
      </c>
      <c r="D70" s="4">
        <v>13</v>
      </c>
      <c r="E70" s="4">
        <v>1</v>
      </c>
      <c r="F70" s="4">
        <v>56780</v>
      </c>
      <c r="G70" s="6" t="s">
        <v>198</v>
      </c>
      <c r="H70" s="13">
        <v>43898</v>
      </c>
      <c r="I70" s="22">
        <f>Table1[[#This Row],[Deaths]]/Table1[[#This Row],[Confirmed]]</f>
        <v>0</v>
      </c>
      <c r="J70" s="23">
        <f>Table1[[#This Row],[Recovered]]/Table1[[#This Row],[Confirmed]]</f>
        <v>0.9285714285714286</v>
      </c>
      <c r="K70" s="22">
        <f>Table1[[#This Row],[Confirmed]]/Table1[[#This Row],[Population]]</f>
        <v>2.4656569214512151E-4</v>
      </c>
      <c r="L70" s="24" t="str">
        <f>IF(Table1[[#This Row],[Death_Rate]]&gt; 5%,"High_Risk",IF(Table1[[#This Row],[Death_Rate]] &gt;= 2%,"Moderate_Risk","Low_Risk"))</f>
        <v>Low_Risk</v>
      </c>
    </row>
    <row r="71" spans="1:12" ht="18" customHeight="1" x14ac:dyDescent="0.25">
      <c r="A71" s="12" t="s">
        <v>73</v>
      </c>
      <c r="B71" s="5">
        <v>23</v>
      </c>
      <c r="C71" s="5">
        <v>0</v>
      </c>
      <c r="D71" s="5">
        <v>23</v>
      </c>
      <c r="E71" s="5">
        <v>0</v>
      </c>
      <c r="F71" s="5">
        <v>112576</v>
      </c>
      <c r="G71" s="7" t="s">
        <v>198</v>
      </c>
      <c r="H71" s="14">
        <v>43912</v>
      </c>
      <c r="I71" s="22">
        <f>Table1[[#This Row],[Deaths]]/Table1[[#This Row],[Confirmed]]</f>
        <v>0</v>
      </c>
      <c r="J71" s="23">
        <f>Table1[[#This Row],[Recovered]]/Table1[[#This Row],[Confirmed]]</f>
        <v>1</v>
      </c>
      <c r="K71" s="22">
        <f>Table1[[#This Row],[Confirmed]]/Table1[[#This Row],[Population]]</f>
        <v>2.0430642410460489E-4</v>
      </c>
      <c r="L71" s="24" t="str">
        <f>IF(Table1[[#This Row],[Death_Rate]]&gt; 5%,"High_Risk",IF(Table1[[#This Row],[Death_Rate]] &gt;= 2%,"Moderate_Risk","Low_Risk"))</f>
        <v>Low_Risk</v>
      </c>
    </row>
    <row r="72" spans="1:12" ht="18" customHeight="1" x14ac:dyDescent="0.25">
      <c r="A72" s="11" t="s">
        <v>74</v>
      </c>
      <c r="B72" s="4">
        <v>45309</v>
      </c>
      <c r="C72" s="4">
        <v>1761</v>
      </c>
      <c r="D72" s="4">
        <v>32455</v>
      </c>
      <c r="E72" s="4">
        <v>11093</v>
      </c>
      <c r="F72" s="4">
        <v>17946899</v>
      </c>
      <c r="G72" s="6" t="s">
        <v>198</v>
      </c>
      <c r="H72" s="13">
        <v>43903</v>
      </c>
      <c r="I72" s="22">
        <f>Table1[[#This Row],[Deaths]]/Table1[[#This Row],[Confirmed]]</f>
        <v>3.8866450374097861E-2</v>
      </c>
      <c r="J72" s="23">
        <f>Table1[[#This Row],[Recovered]]/Table1[[#This Row],[Confirmed]]</f>
        <v>0.71630360414045779</v>
      </c>
      <c r="K72" s="22">
        <f>Table1[[#This Row],[Confirmed]]/Table1[[#This Row],[Population]]</f>
        <v>2.5246144194604318E-3</v>
      </c>
      <c r="L72" s="24" t="str">
        <f>IF(Table1[[#This Row],[Death_Rate]]&gt; 5%,"High_Risk",IF(Table1[[#This Row],[Death_Rate]] &gt;= 2%,"Moderate_Risk","Low_Risk"))</f>
        <v>Moderate_Risk</v>
      </c>
    </row>
    <row r="73" spans="1:12" ht="18" customHeight="1" x14ac:dyDescent="0.25">
      <c r="A73" s="12" t="s">
        <v>75</v>
      </c>
      <c r="B73" s="5">
        <v>7055</v>
      </c>
      <c r="C73" s="5">
        <v>45</v>
      </c>
      <c r="D73" s="5">
        <v>6257</v>
      </c>
      <c r="E73" s="5">
        <v>753</v>
      </c>
      <c r="F73" s="5">
        <v>13164905</v>
      </c>
      <c r="G73" s="7" t="s">
        <v>197</v>
      </c>
      <c r="H73" s="14">
        <v>43903</v>
      </c>
      <c r="I73" s="22">
        <f>Table1[[#This Row],[Deaths]]/Table1[[#This Row],[Confirmed]]</f>
        <v>6.3784549964564135E-3</v>
      </c>
      <c r="J73" s="23">
        <f>Table1[[#This Row],[Recovered]]/Table1[[#This Row],[Confirmed]]</f>
        <v>0.88688873139617297</v>
      </c>
      <c r="K73" s="22">
        <f>Table1[[#This Row],[Confirmed]]/Table1[[#This Row],[Population]]</f>
        <v>5.3589448613567661E-4</v>
      </c>
      <c r="L73" s="24" t="str">
        <f>IF(Table1[[#This Row],[Death_Rate]]&gt; 5%,"High_Risk",IF(Table1[[#This Row],[Death_Rate]] &gt;= 2%,"Moderate_Risk","Low_Risk"))</f>
        <v>Low_Risk</v>
      </c>
    </row>
    <row r="74" spans="1:12" ht="18" customHeight="1" x14ac:dyDescent="0.25">
      <c r="A74" s="11" t="s">
        <v>76</v>
      </c>
      <c r="B74" s="4">
        <v>1954</v>
      </c>
      <c r="C74" s="4">
        <v>26</v>
      </c>
      <c r="D74" s="4">
        <v>803</v>
      </c>
      <c r="E74" s="4">
        <v>1125</v>
      </c>
      <c r="F74" s="4">
        <v>1972277</v>
      </c>
      <c r="G74" s="6" t="s">
        <v>197</v>
      </c>
      <c r="H74" s="13">
        <v>43915</v>
      </c>
      <c r="I74" s="22">
        <f>Table1[[#This Row],[Deaths]]/Table1[[#This Row],[Confirmed]]</f>
        <v>1.3306038894575231E-2</v>
      </c>
      <c r="J74" s="23">
        <f>Table1[[#This Row],[Recovered]]/Table1[[#This Row],[Confirmed]]</f>
        <v>0.41095189355168882</v>
      </c>
      <c r="K74" s="22">
        <f>Table1[[#This Row],[Confirmed]]/Table1[[#This Row],[Population]]</f>
        <v>9.907330461187754E-4</v>
      </c>
      <c r="L74" s="24" t="str">
        <f>IF(Table1[[#This Row],[Death_Rate]]&gt; 5%,"High_Risk",IF(Table1[[#This Row],[Death_Rate]] &gt;= 2%,"Moderate_Risk","Low_Risk"))</f>
        <v>Low_Risk</v>
      </c>
    </row>
    <row r="75" spans="1:12" ht="18" customHeight="1" x14ac:dyDescent="0.25">
      <c r="A75" s="12" t="s">
        <v>77</v>
      </c>
      <c r="B75" s="5">
        <v>389</v>
      </c>
      <c r="C75" s="5">
        <v>20</v>
      </c>
      <c r="D75" s="5">
        <v>181</v>
      </c>
      <c r="E75" s="5">
        <v>188</v>
      </c>
      <c r="F75" s="5">
        <v>786936</v>
      </c>
      <c r="G75" s="7" t="s">
        <v>199</v>
      </c>
      <c r="H75" s="14">
        <v>43902</v>
      </c>
      <c r="I75" s="22">
        <f>Table1[[#This Row],[Deaths]]/Table1[[#This Row],[Confirmed]]</f>
        <v>5.1413881748071981E-2</v>
      </c>
      <c r="J75" s="23">
        <f>Table1[[#This Row],[Recovered]]/Table1[[#This Row],[Confirmed]]</f>
        <v>0.4652956298200514</v>
      </c>
      <c r="K75" s="22">
        <f>Table1[[#This Row],[Confirmed]]/Table1[[#This Row],[Population]]</f>
        <v>4.943222828794209E-4</v>
      </c>
      <c r="L75" s="24" t="str">
        <f>IF(Table1[[#This Row],[Death_Rate]]&gt; 5%,"High_Risk",IF(Table1[[#This Row],[Death_Rate]] &gt;= 2%,"Moderate_Risk","Low_Risk"))</f>
        <v>High_Risk</v>
      </c>
    </row>
    <row r="76" spans="1:12" ht="18" customHeight="1" x14ac:dyDescent="0.25">
      <c r="A76" s="11" t="s">
        <v>78</v>
      </c>
      <c r="B76" s="4">
        <v>7340</v>
      </c>
      <c r="C76" s="4">
        <v>158</v>
      </c>
      <c r="D76" s="4">
        <v>4365</v>
      </c>
      <c r="E76" s="4">
        <v>2817</v>
      </c>
      <c r="F76" s="4">
        <v>11416103</v>
      </c>
      <c r="G76" s="6" t="s">
        <v>198</v>
      </c>
      <c r="H76" s="13">
        <v>43909</v>
      </c>
      <c r="I76" s="22">
        <f>Table1[[#This Row],[Deaths]]/Table1[[#This Row],[Confirmed]]</f>
        <v>2.1525885558583105E-2</v>
      </c>
      <c r="J76" s="23">
        <f>Table1[[#This Row],[Recovered]]/Table1[[#This Row],[Confirmed]]</f>
        <v>0.59468664850136244</v>
      </c>
      <c r="K76" s="22">
        <f>Table1[[#This Row],[Confirmed]]/Table1[[#This Row],[Population]]</f>
        <v>6.4295145199723587E-4</v>
      </c>
      <c r="L76" s="24" t="str">
        <f>IF(Table1[[#This Row],[Death_Rate]]&gt; 5%,"High_Risk",IF(Table1[[#This Row],[Death_Rate]] &gt;= 2%,"Moderate_Risk","Low_Risk"))</f>
        <v>Moderate_Risk</v>
      </c>
    </row>
    <row r="77" spans="1:12" ht="18" customHeight="1" x14ac:dyDescent="0.25">
      <c r="A77" s="12" t="s">
        <v>79</v>
      </c>
      <c r="B77" s="5">
        <v>12</v>
      </c>
      <c r="C77" s="5">
        <v>0</v>
      </c>
      <c r="D77" s="5">
        <v>12</v>
      </c>
      <c r="E77" s="5">
        <v>0</v>
      </c>
      <c r="F77" s="5">
        <v>528</v>
      </c>
      <c r="G77" s="7" t="s">
        <v>196</v>
      </c>
      <c r="H77" s="14">
        <v>43912</v>
      </c>
      <c r="I77" s="22">
        <f>Table1[[#This Row],[Deaths]]/Table1[[#This Row],[Confirmed]]</f>
        <v>0</v>
      </c>
      <c r="J77" s="23">
        <f>Table1[[#This Row],[Recovered]]/Table1[[#This Row],[Confirmed]]</f>
        <v>1</v>
      </c>
      <c r="K77" s="22">
        <f>Table1[[#This Row],[Confirmed]]/Table1[[#This Row],[Population]]</f>
        <v>2.2727272727272728E-2</v>
      </c>
      <c r="L77" s="24" t="str">
        <f>IF(Table1[[#This Row],[Death_Rate]]&gt; 5%,"High_Risk",IF(Table1[[#This Row],[Death_Rate]] &gt;= 2%,"Moderate_Risk","Low_Risk"))</f>
        <v>Low_Risk</v>
      </c>
    </row>
    <row r="78" spans="1:12" ht="18" customHeight="1" x14ac:dyDescent="0.25">
      <c r="A78" s="11" t="s">
        <v>80</v>
      </c>
      <c r="B78" s="4">
        <v>39741</v>
      </c>
      <c r="C78" s="4">
        <v>1166</v>
      </c>
      <c r="D78" s="4">
        <v>5039</v>
      </c>
      <c r="E78" s="4">
        <v>33536</v>
      </c>
      <c r="F78" s="4">
        <v>10012084</v>
      </c>
      <c r="G78" s="6" t="s">
        <v>198</v>
      </c>
      <c r="H78" s="13">
        <v>43907</v>
      </c>
      <c r="I78" s="22">
        <f>Table1[[#This Row],[Deaths]]/Table1[[#This Row],[Confirmed]]</f>
        <v>2.9339976346845827E-2</v>
      </c>
      <c r="J78" s="23">
        <f>Table1[[#This Row],[Recovered]]/Table1[[#This Row],[Confirmed]]</f>
        <v>0.12679600412672051</v>
      </c>
      <c r="K78" s="22">
        <f>Table1[[#This Row],[Confirmed]]/Table1[[#This Row],[Population]]</f>
        <v>3.9693034936582631E-3</v>
      </c>
      <c r="L78" s="24" t="str">
        <f>IF(Table1[[#This Row],[Death_Rate]]&gt; 5%,"High_Risk",IF(Table1[[#This Row],[Death_Rate]] &gt;= 2%,"Moderate_Risk","Low_Risk"))</f>
        <v>Moderate_Risk</v>
      </c>
    </row>
    <row r="79" spans="1:12" ht="18" customHeight="1" x14ac:dyDescent="0.25">
      <c r="A79" s="12" t="s">
        <v>81</v>
      </c>
      <c r="B79" s="5">
        <v>4448</v>
      </c>
      <c r="C79" s="5">
        <v>596</v>
      </c>
      <c r="D79" s="5">
        <v>3329</v>
      </c>
      <c r="E79" s="5">
        <v>523</v>
      </c>
      <c r="F79" s="5">
        <v>9657785</v>
      </c>
      <c r="G79" s="7" t="s">
        <v>196</v>
      </c>
      <c r="H79" s="14">
        <v>43894</v>
      </c>
      <c r="I79" s="22">
        <f>Table1[[#This Row],[Deaths]]/Table1[[#This Row],[Confirmed]]</f>
        <v>0.13399280575539568</v>
      </c>
      <c r="J79" s="23">
        <f>Table1[[#This Row],[Recovered]]/Table1[[#This Row],[Confirmed]]</f>
        <v>0.74842625899280579</v>
      </c>
      <c r="K79" s="22">
        <f>Table1[[#This Row],[Confirmed]]/Table1[[#This Row],[Population]]</f>
        <v>4.6056109138896753E-4</v>
      </c>
      <c r="L79" s="24" t="str">
        <f>IF(Table1[[#This Row],[Death_Rate]]&gt; 5%,"High_Risk",IF(Table1[[#This Row],[Death_Rate]] &gt;= 2%,"Moderate_Risk","Low_Risk"))</f>
        <v>High_Risk</v>
      </c>
    </row>
    <row r="80" spans="1:12" ht="18" customHeight="1" x14ac:dyDescent="0.25">
      <c r="A80" s="11" t="s">
        <v>82</v>
      </c>
      <c r="B80" s="4">
        <v>1854</v>
      </c>
      <c r="C80" s="4">
        <v>10</v>
      </c>
      <c r="D80" s="4">
        <v>1823</v>
      </c>
      <c r="E80" s="4">
        <v>21</v>
      </c>
      <c r="F80" s="4">
        <v>341465</v>
      </c>
      <c r="G80" s="6" t="s">
        <v>196</v>
      </c>
      <c r="H80" s="13">
        <v>43889</v>
      </c>
      <c r="I80" s="22">
        <f>Table1[[#This Row],[Deaths]]/Table1[[#This Row],[Confirmed]]</f>
        <v>5.3937432578209281E-3</v>
      </c>
      <c r="J80" s="23">
        <f>Table1[[#This Row],[Recovered]]/Table1[[#This Row],[Confirmed]]</f>
        <v>0.98327939590075508</v>
      </c>
      <c r="K80" s="22">
        <f>Table1[[#This Row],[Confirmed]]/Table1[[#This Row],[Population]]</f>
        <v>5.4295462199639788E-3</v>
      </c>
      <c r="L80" s="24" t="str">
        <f>IF(Table1[[#This Row],[Death_Rate]]&gt; 5%,"High_Risk",IF(Table1[[#This Row],[Death_Rate]] &gt;= 2%,"Moderate_Risk","Low_Risk"))</f>
        <v>Low_Risk</v>
      </c>
    </row>
    <row r="81" spans="1:12" ht="18" customHeight="1" x14ac:dyDescent="0.25">
      <c r="A81" s="12" t="s">
        <v>83</v>
      </c>
      <c r="B81" s="5">
        <v>1480073</v>
      </c>
      <c r="C81" s="5">
        <v>33408</v>
      </c>
      <c r="D81" s="5">
        <v>951166</v>
      </c>
      <c r="E81" s="5">
        <v>495499</v>
      </c>
      <c r="F81" s="5">
        <v>1381344997</v>
      </c>
      <c r="G81" s="7" t="s">
        <v>195</v>
      </c>
      <c r="H81" s="14">
        <v>43860</v>
      </c>
      <c r="I81" s="22">
        <f>Table1[[#This Row],[Deaths]]/Table1[[#This Row],[Confirmed]]</f>
        <v>2.2571859631247918E-2</v>
      </c>
      <c r="J81" s="23">
        <f>Table1[[#This Row],[Recovered]]/Table1[[#This Row],[Confirmed]]</f>
        <v>0.64264803154979522</v>
      </c>
      <c r="K81" s="22">
        <f>Table1[[#This Row],[Confirmed]]/Table1[[#This Row],[Population]]</f>
        <v>1.0714723716482247E-3</v>
      </c>
      <c r="L81" s="24" t="str">
        <f>IF(Table1[[#This Row],[Death_Rate]]&gt; 5%,"High_Risk",IF(Table1[[#This Row],[Death_Rate]] &gt;= 2%,"Moderate_Risk","Low_Risk"))</f>
        <v>Moderate_Risk</v>
      </c>
    </row>
    <row r="82" spans="1:12" ht="18" customHeight="1" x14ac:dyDescent="0.25">
      <c r="A82" s="11" t="s">
        <v>84</v>
      </c>
      <c r="B82" s="4">
        <v>100303</v>
      </c>
      <c r="C82" s="4">
        <v>4838</v>
      </c>
      <c r="D82" s="4">
        <v>58173</v>
      </c>
      <c r="E82" s="4">
        <v>37292</v>
      </c>
      <c r="F82" s="4">
        <v>273808365</v>
      </c>
      <c r="G82" s="6" t="s">
        <v>195</v>
      </c>
      <c r="H82" s="13">
        <v>43892</v>
      </c>
      <c r="I82" s="22">
        <f>Table1[[#This Row],[Deaths]]/Table1[[#This Row],[Confirmed]]</f>
        <v>4.8233851430166598E-2</v>
      </c>
      <c r="J82" s="23">
        <f>Table1[[#This Row],[Recovered]]/Table1[[#This Row],[Confirmed]]</f>
        <v>0.57997268277120329</v>
      </c>
      <c r="K82" s="22">
        <f>Table1[[#This Row],[Confirmed]]/Table1[[#This Row],[Population]]</f>
        <v>3.6632555035343787E-4</v>
      </c>
      <c r="L82" s="24" t="str">
        <f>IF(Table1[[#This Row],[Death_Rate]]&gt; 5%,"High_Risk",IF(Table1[[#This Row],[Death_Rate]] &gt;= 2%,"Moderate_Risk","Low_Risk"))</f>
        <v>Moderate_Risk</v>
      </c>
    </row>
    <row r="83" spans="1:12" ht="18" customHeight="1" x14ac:dyDescent="0.25">
      <c r="A83" s="12" t="s">
        <v>85</v>
      </c>
      <c r="B83" s="5">
        <v>293606</v>
      </c>
      <c r="C83" s="5">
        <v>15912</v>
      </c>
      <c r="D83" s="5">
        <v>255144</v>
      </c>
      <c r="E83" s="5">
        <v>22550</v>
      </c>
      <c r="F83" s="5">
        <v>84097623</v>
      </c>
      <c r="G83" s="7" t="s">
        <v>195</v>
      </c>
      <c r="H83" s="14">
        <v>43880</v>
      </c>
      <c r="I83" s="22">
        <f>Table1[[#This Row],[Deaths]]/Table1[[#This Row],[Confirmed]]</f>
        <v>5.4195077757266542E-2</v>
      </c>
      <c r="J83" s="23">
        <f>Table1[[#This Row],[Recovered]]/Table1[[#This Row],[Confirmed]]</f>
        <v>0.86900131468702957</v>
      </c>
      <c r="K83" s="22">
        <f>Table1[[#This Row],[Confirmed]]/Table1[[#This Row],[Population]]</f>
        <v>3.4912520654715772E-3</v>
      </c>
      <c r="L83" s="24" t="str">
        <f>IF(Table1[[#This Row],[Death_Rate]]&gt; 5%,"High_Risk",IF(Table1[[#This Row],[Death_Rate]] &gt;= 2%,"Moderate_Risk","Low_Risk"))</f>
        <v>High_Risk</v>
      </c>
    </row>
    <row r="84" spans="1:12" ht="18" customHeight="1" x14ac:dyDescent="0.25">
      <c r="A84" s="11" t="s">
        <v>86</v>
      </c>
      <c r="B84" s="4">
        <v>112585</v>
      </c>
      <c r="C84" s="4">
        <v>4458</v>
      </c>
      <c r="D84" s="4">
        <v>77144</v>
      </c>
      <c r="E84" s="4">
        <v>30983</v>
      </c>
      <c r="F84" s="4">
        <v>40306025</v>
      </c>
      <c r="G84" s="6" t="s">
        <v>195</v>
      </c>
      <c r="H84" s="13">
        <v>43883</v>
      </c>
      <c r="I84" s="22">
        <f>Table1[[#This Row],[Deaths]]/Table1[[#This Row],[Confirmed]]</f>
        <v>3.9596749122884932E-2</v>
      </c>
      <c r="J84" s="23">
        <f>Table1[[#This Row],[Recovered]]/Table1[[#This Row],[Confirmed]]</f>
        <v>0.68520673269085575</v>
      </c>
      <c r="K84" s="22">
        <f>Table1[[#This Row],[Confirmed]]/Table1[[#This Row],[Population]]</f>
        <v>2.7932548545781927E-3</v>
      </c>
      <c r="L84" s="24" t="str">
        <f>IF(Table1[[#This Row],[Death_Rate]]&gt; 5%,"High_Risk",IF(Table1[[#This Row],[Death_Rate]] &gt;= 2%,"Moderate_Risk","Low_Risk"))</f>
        <v>Moderate_Risk</v>
      </c>
    </row>
    <row r="85" spans="1:12" ht="18" customHeight="1" x14ac:dyDescent="0.25">
      <c r="A85" s="12" t="s">
        <v>87</v>
      </c>
      <c r="B85" s="5">
        <v>25892</v>
      </c>
      <c r="C85" s="5">
        <v>1764</v>
      </c>
      <c r="D85" s="5">
        <v>23364</v>
      </c>
      <c r="E85" s="5">
        <v>764</v>
      </c>
      <c r="F85" s="5">
        <v>4943200</v>
      </c>
      <c r="G85" s="7" t="s">
        <v>196</v>
      </c>
      <c r="H85" s="14">
        <v>43890</v>
      </c>
      <c r="I85" s="22">
        <f>Table1[[#This Row],[Deaths]]/Table1[[#This Row],[Confirmed]]</f>
        <v>6.8129151861578863E-2</v>
      </c>
      <c r="J85" s="23">
        <f>Table1[[#This Row],[Recovered]]/Table1[[#This Row],[Confirmed]]</f>
        <v>0.90236366445234051</v>
      </c>
      <c r="K85" s="22">
        <f>Table1[[#This Row],[Confirmed]]/Table1[[#This Row],[Population]]</f>
        <v>5.2379025732319142E-3</v>
      </c>
      <c r="L85" s="24" t="str">
        <f>IF(Table1[[#This Row],[Death_Rate]]&gt; 5%,"High_Risk",IF(Table1[[#This Row],[Death_Rate]] &gt;= 2%,"Moderate_Risk","Low_Risk"))</f>
        <v>High_Risk</v>
      </c>
    </row>
    <row r="86" spans="1:12" ht="18" customHeight="1" x14ac:dyDescent="0.25">
      <c r="A86" s="11" t="s">
        <v>88</v>
      </c>
      <c r="B86" s="4">
        <v>63985</v>
      </c>
      <c r="C86" s="4">
        <v>474</v>
      </c>
      <c r="D86" s="4">
        <v>27133</v>
      </c>
      <c r="E86" s="4">
        <v>36378</v>
      </c>
      <c r="F86" s="4">
        <v>9197590</v>
      </c>
      <c r="G86" s="6" t="s">
        <v>195</v>
      </c>
      <c r="H86" s="13">
        <v>43882</v>
      </c>
      <c r="I86" s="22">
        <f>Table1[[#This Row],[Deaths]]/Table1[[#This Row],[Confirmed]]</f>
        <v>7.407986246776588E-3</v>
      </c>
      <c r="J86" s="23">
        <f>Table1[[#This Row],[Recovered]]/Table1[[#This Row],[Confirmed]]</f>
        <v>0.42405251230757207</v>
      </c>
      <c r="K86" s="22">
        <f>Table1[[#This Row],[Confirmed]]/Table1[[#This Row],[Population]]</f>
        <v>6.9567136608611607E-3</v>
      </c>
      <c r="L86" s="24" t="str">
        <f>IF(Table1[[#This Row],[Death_Rate]]&gt; 5%,"High_Risk",IF(Table1[[#This Row],[Death_Rate]] &gt;= 2%,"Moderate_Risk","Low_Risk"))</f>
        <v>Low_Risk</v>
      </c>
    </row>
    <row r="87" spans="1:12" ht="18" customHeight="1" x14ac:dyDescent="0.25">
      <c r="A87" s="12" t="s">
        <v>89</v>
      </c>
      <c r="B87" s="5">
        <v>246286</v>
      </c>
      <c r="C87" s="5">
        <v>35112</v>
      </c>
      <c r="D87" s="5">
        <v>198593</v>
      </c>
      <c r="E87" s="5">
        <v>12581</v>
      </c>
      <c r="F87" s="5">
        <v>60452568</v>
      </c>
      <c r="G87" s="7" t="s">
        <v>196</v>
      </c>
      <c r="H87" s="14">
        <v>43861</v>
      </c>
      <c r="I87" s="22">
        <f>Table1[[#This Row],[Deaths]]/Table1[[#This Row],[Confirmed]]</f>
        <v>0.14256595990027854</v>
      </c>
      <c r="J87" s="23">
        <f>Table1[[#This Row],[Recovered]]/Table1[[#This Row],[Confirmed]]</f>
        <v>0.80635115272488078</v>
      </c>
      <c r="K87" s="22">
        <f>Table1[[#This Row],[Confirmed]]/Table1[[#This Row],[Population]]</f>
        <v>4.0740370202304726E-3</v>
      </c>
      <c r="L87" s="24" t="str">
        <f>IF(Table1[[#This Row],[Death_Rate]]&gt; 5%,"High_Risk",IF(Table1[[#This Row],[Death_Rate]] &gt;= 2%,"Moderate_Risk","Low_Risk"))</f>
        <v>High_Risk</v>
      </c>
    </row>
    <row r="88" spans="1:12" ht="18" customHeight="1" x14ac:dyDescent="0.25">
      <c r="A88" s="11" t="s">
        <v>90</v>
      </c>
      <c r="B88" s="4">
        <v>853</v>
      </c>
      <c r="C88" s="4">
        <v>10</v>
      </c>
      <c r="D88" s="4">
        <v>714</v>
      </c>
      <c r="E88" s="4">
        <v>129</v>
      </c>
      <c r="F88" s="4">
        <v>2962478</v>
      </c>
      <c r="G88" s="6" t="s">
        <v>198</v>
      </c>
      <c r="H88" s="13">
        <v>43900</v>
      </c>
      <c r="I88" s="22">
        <f>Table1[[#This Row],[Deaths]]/Table1[[#This Row],[Confirmed]]</f>
        <v>1.1723329425556858E-2</v>
      </c>
      <c r="J88" s="23">
        <f>Table1[[#This Row],[Recovered]]/Table1[[#This Row],[Confirmed]]</f>
        <v>0.83704572098475971</v>
      </c>
      <c r="K88" s="22">
        <f>Table1[[#This Row],[Confirmed]]/Table1[[#This Row],[Population]]</f>
        <v>2.8793462770018881E-4</v>
      </c>
      <c r="L88" s="24" t="str">
        <f>IF(Table1[[#This Row],[Death_Rate]]&gt; 5%,"High_Risk",IF(Table1[[#This Row],[Death_Rate]] &gt;= 2%,"Moderate_Risk","Low_Risk"))</f>
        <v>Low_Risk</v>
      </c>
    </row>
    <row r="89" spans="1:12" ht="18" customHeight="1" x14ac:dyDescent="0.25">
      <c r="A89" s="12" t="s">
        <v>91</v>
      </c>
      <c r="B89" s="5">
        <v>31142</v>
      </c>
      <c r="C89" s="5">
        <v>998</v>
      </c>
      <c r="D89" s="5">
        <v>21970</v>
      </c>
      <c r="E89" s="5">
        <v>8174</v>
      </c>
      <c r="F89" s="5">
        <v>126435859</v>
      </c>
      <c r="G89" s="7" t="s">
        <v>195</v>
      </c>
      <c r="H89" s="14">
        <v>43846</v>
      </c>
      <c r="I89" s="22">
        <f>Table1[[#This Row],[Deaths]]/Table1[[#This Row],[Confirmed]]</f>
        <v>3.2046753580373774E-2</v>
      </c>
      <c r="J89" s="23">
        <f>Table1[[#This Row],[Recovered]]/Table1[[#This Row],[Confirmed]]</f>
        <v>0.70547813242566304</v>
      </c>
      <c r="K89" s="22">
        <f>Table1[[#This Row],[Confirmed]]/Table1[[#This Row],[Population]]</f>
        <v>2.4630670639094564E-4</v>
      </c>
      <c r="L89" s="24" t="str">
        <f>IF(Table1[[#This Row],[Death_Rate]]&gt; 5%,"High_Risk",IF(Table1[[#This Row],[Death_Rate]] &gt;= 2%,"Moderate_Risk","Low_Risk"))</f>
        <v>Moderate_Risk</v>
      </c>
    </row>
    <row r="90" spans="1:12" ht="18" customHeight="1" x14ac:dyDescent="0.25">
      <c r="A90" s="11" t="s">
        <v>92</v>
      </c>
      <c r="B90" s="4">
        <v>1176</v>
      </c>
      <c r="C90" s="4">
        <v>11</v>
      </c>
      <c r="D90" s="4">
        <v>1041</v>
      </c>
      <c r="E90" s="4">
        <v>124</v>
      </c>
      <c r="F90" s="4">
        <v>10213138</v>
      </c>
      <c r="G90" s="6" t="s">
        <v>195</v>
      </c>
      <c r="H90" s="13">
        <v>43892</v>
      </c>
      <c r="I90" s="22">
        <f>Table1[[#This Row],[Deaths]]/Table1[[#This Row],[Confirmed]]</f>
        <v>9.3537414965986394E-3</v>
      </c>
      <c r="J90" s="23">
        <f>Table1[[#This Row],[Recovered]]/Table1[[#This Row],[Confirmed]]</f>
        <v>0.88520408163265307</v>
      </c>
      <c r="K90" s="22">
        <f>Table1[[#This Row],[Confirmed]]/Table1[[#This Row],[Population]]</f>
        <v>1.1514580533426651E-4</v>
      </c>
      <c r="L90" s="24" t="str">
        <f>IF(Table1[[#This Row],[Death_Rate]]&gt; 5%,"High_Risk",IF(Table1[[#This Row],[Death_Rate]] &gt;= 2%,"Moderate_Risk","Low_Risk"))</f>
        <v>Low_Risk</v>
      </c>
    </row>
    <row r="91" spans="1:12" ht="18" customHeight="1" x14ac:dyDescent="0.25">
      <c r="A91" s="12" t="s">
        <v>93</v>
      </c>
      <c r="B91" s="5">
        <v>84648</v>
      </c>
      <c r="C91" s="5">
        <v>585</v>
      </c>
      <c r="D91" s="5">
        <v>54404</v>
      </c>
      <c r="E91" s="5">
        <v>29659</v>
      </c>
      <c r="F91" s="5">
        <v>18798667</v>
      </c>
      <c r="G91" s="7" t="s">
        <v>195</v>
      </c>
      <c r="H91" s="14">
        <v>43903</v>
      </c>
      <c r="I91" s="22">
        <f>Table1[[#This Row],[Deaths]]/Table1[[#This Row],[Confirmed]]</f>
        <v>6.9109724978735467E-3</v>
      </c>
      <c r="J91" s="23">
        <f>Table1[[#This Row],[Recovered]]/Table1[[#This Row],[Confirmed]]</f>
        <v>0.64270862867403833</v>
      </c>
      <c r="K91" s="22">
        <f>Table1[[#This Row],[Confirmed]]/Table1[[#This Row],[Population]]</f>
        <v>4.5028724643082409E-3</v>
      </c>
      <c r="L91" s="24" t="str">
        <f>IF(Table1[[#This Row],[Death_Rate]]&gt; 5%,"High_Risk",IF(Table1[[#This Row],[Death_Rate]] &gt;= 2%,"Moderate_Risk","Low_Risk"))</f>
        <v>Low_Risk</v>
      </c>
    </row>
    <row r="92" spans="1:12" ht="18" customHeight="1" x14ac:dyDescent="0.25">
      <c r="A92" s="11" t="s">
        <v>94</v>
      </c>
      <c r="B92" s="4">
        <v>17975</v>
      </c>
      <c r="C92" s="4">
        <v>285</v>
      </c>
      <c r="D92" s="4">
        <v>7833</v>
      </c>
      <c r="E92" s="4">
        <v>9857</v>
      </c>
      <c r="F92" s="4">
        <v>53881160</v>
      </c>
      <c r="G92" s="6" t="s">
        <v>197</v>
      </c>
      <c r="H92" s="13">
        <v>43903</v>
      </c>
      <c r="I92" s="22">
        <f>Table1[[#This Row],[Deaths]]/Table1[[#This Row],[Confirmed]]</f>
        <v>1.5855354659248956E-2</v>
      </c>
      <c r="J92" s="23">
        <f>Table1[[#This Row],[Recovered]]/Table1[[#This Row],[Confirmed]]</f>
        <v>0.4357719054242003</v>
      </c>
      <c r="K92" s="22">
        <f>Table1[[#This Row],[Confirmed]]/Table1[[#This Row],[Population]]</f>
        <v>3.3360454748932648E-4</v>
      </c>
      <c r="L92" s="24" t="str">
        <f>IF(Table1[[#This Row],[Death_Rate]]&gt; 5%,"High_Risk",IF(Table1[[#This Row],[Death_Rate]] &gt;= 2%,"Moderate_Risk","Low_Risk"))</f>
        <v>Low_Risk</v>
      </c>
    </row>
    <row r="93" spans="1:12" ht="18" customHeight="1" x14ac:dyDescent="0.25">
      <c r="A93" s="12" t="s">
        <v>95</v>
      </c>
      <c r="B93" s="5">
        <v>7413</v>
      </c>
      <c r="C93" s="5">
        <v>185</v>
      </c>
      <c r="D93" s="5">
        <v>4027</v>
      </c>
      <c r="E93" s="5">
        <v>3201</v>
      </c>
      <c r="F93" s="9">
        <v>1790152</v>
      </c>
      <c r="G93" s="7" t="s">
        <v>196</v>
      </c>
      <c r="H93" s="14">
        <v>43903</v>
      </c>
      <c r="I93" s="22">
        <f>Table1[[#This Row],[Deaths]]/Table1[[#This Row],[Confirmed]]</f>
        <v>2.4956158100634021E-2</v>
      </c>
      <c r="J93" s="23">
        <f>Table1[[#This Row],[Recovered]]/Table1[[#This Row],[Confirmed]]</f>
        <v>0.54323485768244972</v>
      </c>
      <c r="K93" s="22">
        <f>Table1[[#This Row],[Confirmed]]/Table1[[#This Row],[Population]]</f>
        <v>4.1409891450558392E-3</v>
      </c>
      <c r="L93" s="24" t="str">
        <f>IF(Table1[[#This Row],[Death_Rate]]&gt; 5%,"High_Risk",IF(Table1[[#This Row],[Death_Rate]] &gt;= 2%,"Moderate_Risk","Low_Risk"))</f>
        <v>Moderate_Risk</v>
      </c>
    </row>
    <row r="94" spans="1:12" ht="18" customHeight="1" x14ac:dyDescent="0.25">
      <c r="A94" s="11" t="s">
        <v>96</v>
      </c>
      <c r="B94" s="4">
        <v>64379</v>
      </c>
      <c r="C94" s="4">
        <v>438</v>
      </c>
      <c r="D94" s="4">
        <v>55057</v>
      </c>
      <c r="E94" s="4">
        <v>8884</v>
      </c>
      <c r="F94" s="4">
        <v>4276658</v>
      </c>
      <c r="G94" s="6" t="s">
        <v>195</v>
      </c>
      <c r="H94" s="13">
        <v>43885</v>
      </c>
      <c r="I94" s="22">
        <f>Table1[[#This Row],[Deaths]]/Table1[[#This Row],[Confirmed]]</f>
        <v>6.8034607558365304E-3</v>
      </c>
      <c r="J94" s="23">
        <f>Table1[[#This Row],[Recovered]]/Table1[[#This Row],[Confirmed]]</f>
        <v>0.85520123021482164</v>
      </c>
      <c r="K94" s="22">
        <f>Table1[[#This Row],[Confirmed]]/Table1[[#This Row],[Population]]</f>
        <v>1.5053576881761413E-2</v>
      </c>
      <c r="L94" s="24" t="str">
        <f>IF(Table1[[#This Row],[Death_Rate]]&gt; 5%,"High_Risk",IF(Table1[[#This Row],[Death_Rate]] &gt;= 2%,"Moderate_Risk","Low_Risk"))</f>
        <v>Low_Risk</v>
      </c>
    </row>
    <row r="95" spans="1:12" ht="18" customHeight="1" x14ac:dyDescent="0.25">
      <c r="A95" s="12" t="s">
        <v>97</v>
      </c>
      <c r="B95" s="5">
        <v>33296</v>
      </c>
      <c r="C95" s="5">
        <v>1301</v>
      </c>
      <c r="D95" s="5">
        <v>21205</v>
      </c>
      <c r="E95" s="5">
        <v>10790</v>
      </c>
      <c r="F95" s="5">
        <v>6534479</v>
      </c>
      <c r="G95" s="7" t="s">
        <v>195</v>
      </c>
      <c r="H95" s="14">
        <v>43908</v>
      </c>
      <c r="I95" s="22">
        <f>Table1[[#This Row],[Deaths]]/Table1[[#This Row],[Confirmed]]</f>
        <v>3.9073762614127823E-2</v>
      </c>
      <c r="J95" s="23">
        <f>Table1[[#This Row],[Recovered]]/Table1[[#This Row],[Confirmed]]</f>
        <v>0.63686328688130711</v>
      </c>
      <c r="K95" s="22">
        <f>Table1[[#This Row],[Confirmed]]/Table1[[#This Row],[Population]]</f>
        <v>5.0954330100379842E-3</v>
      </c>
      <c r="L95" s="24" t="str">
        <f>IF(Table1[[#This Row],[Death_Rate]]&gt; 5%,"High_Risk",IF(Table1[[#This Row],[Death_Rate]] &gt;= 2%,"Moderate_Risk","Low_Risk"))</f>
        <v>Moderate_Risk</v>
      </c>
    </row>
    <row r="96" spans="1:12" ht="18" customHeight="1" x14ac:dyDescent="0.25">
      <c r="A96" s="11" t="s">
        <v>98</v>
      </c>
      <c r="B96" s="4">
        <v>20</v>
      </c>
      <c r="C96" s="4">
        <v>0</v>
      </c>
      <c r="D96" s="4">
        <v>19</v>
      </c>
      <c r="E96" s="4">
        <v>1</v>
      </c>
      <c r="F96" s="4">
        <v>7285750</v>
      </c>
      <c r="G96" s="6" t="s">
        <v>195</v>
      </c>
      <c r="H96" s="13">
        <v>43914</v>
      </c>
      <c r="I96" s="22">
        <f>Table1[[#This Row],[Deaths]]/Table1[[#This Row],[Confirmed]]</f>
        <v>0</v>
      </c>
      <c r="J96" s="23">
        <f>Table1[[#This Row],[Recovered]]/Table1[[#This Row],[Confirmed]]</f>
        <v>0.95</v>
      </c>
      <c r="K96" s="22">
        <f>Table1[[#This Row],[Confirmed]]/Table1[[#This Row],[Population]]</f>
        <v>2.7450845829187114E-6</v>
      </c>
      <c r="L96" s="24" t="str">
        <f>IF(Table1[[#This Row],[Death_Rate]]&gt; 5%,"High_Risk",IF(Table1[[#This Row],[Death_Rate]] &gt;= 2%,"Moderate_Risk","Low_Risk"))</f>
        <v>Low_Risk</v>
      </c>
    </row>
    <row r="97" spans="1:19" ht="18" customHeight="1" x14ac:dyDescent="0.25">
      <c r="A97" s="12" t="s">
        <v>99</v>
      </c>
      <c r="B97" s="5">
        <v>1219</v>
      </c>
      <c r="C97" s="5">
        <v>31</v>
      </c>
      <c r="D97" s="5">
        <v>1045</v>
      </c>
      <c r="E97" s="5">
        <v>143</v>
      </c>
      <c r="F97" s="5">
        <v>1883936</v>
      </c>
      <c r="G97" s="7" t="s">
        <v>196</v>
      </c>
      <c r="H97" s="14">
        <v>43892</v>
      </c>
      <c r="I97" s="22">
        <f>Table1[[#This Row],[Deaths]]/Table1[[#This Row],[Confirmed]]</f>
        <v>2.5430680885972109E-2</v>
      </c>
      <c r="J97" s="23">
        <f>Table1[[#This Row],[Recovered]]/Table1[[#This Row],[Confirmed]]</f>
        <v>0.85726004922067267</v>
      </c>
      <c r="K97" s="22">
        <f>Table1[[#This Row],[Confirmed]]/Table1[[#This Row],[Population]]</f>
        <v>6.4704958130212494E-4</v>
      </c>
      <c r="L97" s="24" t="str">
        <f>IF(Table1[[#This Row],[Death_Rate]]&gt; 5%,"High_Risk",IF(Table1[[#This Row],[Death_Rate]] &gt;= 2%,"Moderate_Risk","Low_Risk"))</f>
        <v>Moderate_Risk</v>
      </c>
      <c r="S97" s="1"/>
    </row>
    <row r="98" spans="1:19" ht="18" customHeight="1" x14ac:dyDescent="0.25">
      <c r="A98" s="11" t="s">
        <v>100</v>
      </c>
      <c r="B98" s="4">
        <v>3882</v>
      </c>
      <c r="C98" s="4">
        <v>51</v>
      </c>
      <c r="D98" s="4">
        <v>1709</v>
      </c>
      <c r="E98" s="4">
        <v>2122</v>
      </c>
      <c r="F98" s="4">
        <v>6822220</v>
      </c>
      <c r="G98" s="6" t="s">
        <v>195</v>
      </c>
      <c r="H98" s="13">
        <v>43882</v>
      </c>
      <c r="I98" s="22">
        <f>Table1[[#This Row],[Deaths]]/Table1[[#This Row],[Confirmed]]</f>
        <v>1.3137557959814529E-2</v>
      </c>
      <c r="J98" s="23">
        <f>Table1[[#This Row],[Recovered]]/Table1[[#This Row],[Confirmed]]</f>
        <v>0.44023699124162802</v>
      </c>
      <c r="K98" s="22">
        <f>Table1[[#This Row],[Confirmed]]/Table1[[#This Row],[Population]]</f>
        <v>5.6902298665243865E-4</v>
      </c>
      <c r="L98" s="24" t="str">
        <f>IF(Table1[[#This Row],[Death_Rate]]&gt; 5%,"High_Risk",IF(Table1[[#This Row],[Death_Rate]] &gt;= 2%,"Moderate_Risk","Low_Risk"))</f>
        <v>Low_Risk</v>
      </c>
    </row>
    <row r="99" spans="1:19" ht="18" customHeight="1" x14ac:dyDescent="0.25">
      <c r="A99" s="12" t="s">
        <v>101</v>
      </c>
      <c r="B99" s="5">
        <v>505</v>
      </c>
      <c r="C99" s="5">
        <v>12</v>
      </c>
      <c r="D99" s="5">
        <v>128</v>
      </c>
      <c r="E99" s="5">
        <v>365</v>
      </c>
      <c r="F99" s="5">
        <v>2143943</v>
      </c>
      <c r="G99" s="7" t="s">
        <v>197</v>
      </c>
      <c r="H99" s="14">
        <v>43964</v>
      </c>
      <c r="I99" s="22">
        <f>Table1[[#This Row],[Deaths]]/Table1[[#This Row],[Confirmed]]</f>
        <v>2.3762376237623763E-2</v>
      </c>
      <c r="J99" s="23">
        <f>Table1[[#This Row],[Recovered]]/Table1[[#This Row],[Confirmed]]</f>
        <v>0.25346534653465347</v>
      </c>
      <c r="K99" s="22">
        <f>Table1[[#This Row],[Confirmed]]/Table1[[#This Row],[Population]]</f>
        <v>2.3554730699463559E-4</v>
      </c>
      <c r="L99" s="24" t="str">
        <f>IF(Table1[[#This Row],[Death_Rate]]&gt; 5%,"High_Risk",IF(Table1[[#This Row],[Death_Rate]] &gt;= 2%,"Moderate_Risk","Low_Risk"))</f>
        <v>Moderate_Risk</v>
      </c>
    </row>
    <row r="100" spans="1:19" ht="18" customHeight="1" x14ac:dyDescent="0.25">
      <c r="A100" s="11" t="s">
        <v>102</v>
      </c>
      <c r="B100" s="4">
        <v>1167</v>
      </c>
      <c r="C100" s="4">
        <v>72</v>
      </c>
      <c r="D100" s="4">
        <v>646</v>
      </c>
      <c r="E100" s="4">
        <v>449</v>
      </c>
      <c r="F100" s="4">
        <v>5068618</v>
      </c>
      <c r="G100" s="6" t="s">
        <v>197</v>
      </c>
      <c r="H100" s="13">
        <v>43906</v>
      </c>
      <c r="I100" s="22">
        <f>Table1[[#This Row],[Deaths]]/Table1[[#This Row],[Confirmed]]</f>
        <v>6.1696658097686374E-2</v>
      </c>
      <c r="J100" s="23">
        <f>Table1[[#This Row],[Recovered]]/Table1[[#This Row],[Confirmed]]</f>
        <v>0.55355612682090827</v>
      </c>
      <c r="K100" s="22">
        <f>Table1[[#This Row],[Confirmed]]/Table1[[#This Row],[Population]]</f>
        <v>2.3024027456793942E-4</v>
      </c>
      <c r="L100" s="24" t="str">
        <f>IF(Table1[[#This Row],[Death_Rate]]&gt; 5%,"High_Risk",IF(Table1[[#This Row],[Death_Rate]] &gt;= 2%,"Moderate_Risk","Low_Risk"))</f>
        <v>High_Risk</v>
      </c>
    </row>
    <row r="101" spans="1:19" ht="18" customHeight="1" x14ac:dyDescent="0.25">
      <c r="A101" s="12" t="s">
        <v>103</v>
      </c>
      <c r="B101" s="5">
        <v>2827</v>
      </c>
      <c r="C101" s="5">
        <v>64</v>
      </c>
      <c r="D101" s="5">
        <v>577</v>
      </c>
      <c r="E101" s="5">
        <v>2186</v>
      </c>
      <c r="F101" s="5">
        <v>6880353</v>
      </c>
      <c r="G101" s="7" t="s">
        <v>197</v>
      </c>
      <c r="H101" s="14">
        <v>43914</v>
      </c>
      <c r="I101" s="22">
        <f>Table1[[#This Row],[Deaths]]/Table1[[#This Row],[Confirmed]]</f>
        <v>2.2638839759462327E-2</v>
      </c>
      <c r="J101" s="23">
        <f>Table1[[#This Row],[Recovered]]/Table1[[#This Row],[Confirmed]]</f>
        <v>0.20410328970640254</v>
      </c>
      <c r="K101" s="22">
        <f>Table1[[#This Row],[Confirmed]]/Table1[[#This Row],[Population]]</f>
        <v>4.1088008129815432E-4</v>
      </c>
      <c r="L101" s="24" t="str">
        <f>IF(Table1[[#This Row],[Death_Rate]]&gt; 5%,"High_Risk",IF(Table1[[#This Row],[Death_Rate]] &gt;= 2%,"Moderate_Risk","Low_Risk"))</f>
        <v>Moderate_Risk</v>
      </c>
    </row>
    <row r="102" spans="1:19" ht="18" customHeight="1" x14ac:dyDescent="0.25">
      <c r="A102" s="11" t="s">
        <v>104</v>
      </c>
      <c r="B102" s="4">
        <v>86</v>
      </c>
      <c r="C102" s="4">
        <v>1</v>
      </c>
      <c r="D102" s="4">
        <v>81</v>
      </c>
      <c r="E102" s="4">
        <v>4</v>
      </c>
      <c r="F102" s="4">
        <v>38139</v>
      </c>
      <c r="G102" s="6" t="s">
        <v>196</v>
      </c>
      <c r="H102" s="13">
        <v>43893</v>
      </c>
      <c r="I102" s="22">
        <f>Table1[[#This Row],[Deaths]]/Table1[[#This Row],[Confirmed]]</f>
        <v>1.1627906976744186E-2</v>
      </c>
      <c r="J102" s="23">
        <f>Table1[[#This Row],[Recovered]]/Table1[[#This Row],[Confirmed]]</f>
        <v>0.94186046511627908</v>
      </c>
      <c r="K102" s="22">
        <f>Table1[[#This Row],[Confirmed]]/Table1[[#This Row],[Population]]</f>
        <v>2.2549096725136999E-3</v>
      </c>
      <c r="L102" s="24" t="str">
        <f>IF(Table1[[#This Row],[Death_Rate]]&gt; 5%,"High_Risk",IF(Table1[[#This Row],[Death_Rate]] &gt;= 2%,"Moderate_Risk","Low_Risk"))</f>
        <v>Low_Risk</v>
      </c>
    </row>
    <row r="103" spans="1:19" ht="18" customHeight="1" x14ac:dyDescent="0.25">
      <c r="A103" s="12" t="s">
        <v>105</v>
      </c>
      <c r="B103" s="5">
        <v>2019</v>
      </c>
      <c r="C103" s="5">
        <v>80</v>
      </c>
      <c r="D103" s="5">
        <v>1620</v>
      </c>
      <c r="E103" s="5">
        <v>319</v>
      </c>
      <c r="F103" s="5">
        <v>2718121</v>
      </c>
      <c r="G103" s="7" t="s">
        <v>196</v>
      </c>
      <c r="H103" s="14">
        <v>43889</v>
      </c>
      <c r="I103" s="22">
        <f>Table1[[#This Row],[Deaths]]/Table1[[#This Row],[Confirmed]]</f>
        <v>3.9623576027736501E-2</v>
      </c>
      <c r="J103" s="23">
        <f>Table1[[#This Row],[Recovered]]/Table1[[#This Row],[Confirmed]]</f>
        <v>0.80237741456166423</v>
      </c>
      <c r="K103" s="22">
        <f>Table1[[#This Row],[Confirmed]]/Table1[[#This Row],[Population]]</f>
        <v>7.4279253940497862E-4</v>
      </c>
      <c r="L103" s="24" t="str">
        <f>IF(Table1[[#This Row],[Death_Rate]]&gt; 5%,"High_Risk",IF(Table1[[#This Row],[Death_Rate]] &gt;= 2%,"Moderate_Risk","Low_Risk"))</f>
        <v>Moderate_Risk</v>
      </c>
    </row>
    <row r="104" spans="1:19" ht="18" customHeight="1" x14ac:dyDescent="0.25">
      <c r="A104" s="11" t="s">
        <v>106</v>
      </c>
      <c r="B104" s="4">
        <v>6321</v>
      </c>
      <c r="C104" s="4">
        <v>112</v>
      </c>
      <c r="D104" s="4">
        <v>4825</v>
      </c>
      <c r="E104" s="4">
        <v>1384</v>
      </c>
      <c r="F104" s="4">
        <v>626952</v>
      </c>
      <c r="G104" s="6" t="s">
        <v>196</v>
      </c>
      <c r="H104" s="13">
        <v>43890</v>
      </c>
      <c r="I104" s="22">
        <f>Table1[[#This Row],[Deaths]]/Table1[[#This Row],[Confirmed]]</f>
        <v>1.7718715393133997E-2</v>
      </c>
      <c r="J104" s="23">
        <f>Table1[[#This Row],[Recovered]]/Table1[[#This Row],[Confirmed]]</f>
        <v>0.763328587248853</v>
      </c>
      <c r="K104" s="22">
        <f>Table1[[#This Row],[Confirmed]]/Table1[[#This Row],[Population]]</f>
        <v>1.0082111549209509E-2</v>
      </c>
      <c r="L104" s="24" t="str">
        <f>IF(Table1[[#This Row],[Death_Rate]]&gt; 5%,"High_Risk",IF(Table1[[#This Row],[Death_Rate]] &gt;= 2%,"Moderate_Risk","Low_Risk"))</f>
        <v>Low_Risk</v>
      </c>
    </row>
    <row r="105" spans="1:19" ht="18" customHeight="1" x14ac:dyDescent="0.25">
      <c r="A105" s="12" t="s">
        <v>107</v>
      </c>
      <c r="B105" s="5">
        <v>9690</v>
      </c>
      <c r="C105" s="5">
        <v>91</v>
      </c>
      <c r="D105" s="5">
        <v>6260</v>
      </c>
      <c r="E105" s="5">
        <v>3339</v>
      </c>
      <c r="F105" s="5">
        <v>27755708</v>
      </c>
      <c r="G105" s="7" t="s">
        <v>197</v>
      </c>
      <c r="H105" s="14">
        <v>43910</v>
      </c>
      <c r="I105" s="22">
        <f>Table1[[#This Row],[Deaths]]/Table1[[#This Row],[Confirmed]]</f>
        <v>9.3911248710010324E-3</v>
      </c>
      <c r="J105" s="23">
        <f>Table1[[#This Row],[Recovered]]/Table1[[#This Row],[Confirmed]]</f>
        <v>0.6460268317853457</v>
      </c>
      <c r="K105" s="22">
        <f>Table1[[#This Row],[Confirmed]]/Table1[[#This Row],[Population]]</f>
        <v>3.491173779461868E-4</v>
      </c>
      <c r="L105" s="24" t="str">
        <f>IF(Table1[[#This Row],[Death_Rate]]&gt; 5%,"High_Risk",IF(Table1[[#This Row],[Death_Rate]] &gt;= 2%,"Moderate_Risk","Low_Risk"))</f>
        <v>Low_Risk</v>
      </c>
    </row>
    <row r="106" spans="1:19" ht="18" customHeight="1" x14ac:dyDescent="0.25">
      <c r="A106" s="11" t="s">
        <v>108</v>
      </c>
      <c r="B106" s="4">
        <v>3664</v>
      </c>
      <c r="C106" s="4">
        <v>99</v>
      </c>
      <c r="D106" s="4">
        <v>1645</v>
      </c>
      <c r="E106" s="4">
        <v>1920</v>
      </c>
      <c r="F106" s="4">
        <v>19174839</v>
      </c>
      <c r="G106" s="6" t="s">
        <v>197</v>
      </c>
      <c r="H106" s="13">
        <v>43922</v>
      </c>
      <c r="I106" s="22">
        <f>Table1[[#This Row],[Deaths]]/Table1[[#This Row],[Confirmed]]</f>
        <v>2.7019650655021835E-2</v>
      </c>
      <c r="J106" s="23">
        <f>Table1[[#This Row],[Recovered]]/Table1[[#This Row],[Confirmed]]</f>
        <v>0.44896288209606988</v>
      </c>
      <c r="K106" s="22">
        <f>Table1[[#This Row],[Confirmed]]/Table1[[#This Row],[Population]]</f>
        <v>1.910837426066524E-4</v>
      </c>
      <c r="L106" s="24" t="str">
        <f>IF(Table1[[#This Row],[Death_Rate]]&gt; 5%,"High_Risk",IF(Table1[[#This Row],[Death_Rate]] &gt;= 2%,"Moderate_Risk","Low_Risk"))</f>
        <v>Moderate_Risk</v>
      </c>
    </row>
    <row r="107" spans="1:19" ht="18" customHeight="1" x14ac:dyDescent="0.25">
      <c r="A107" s="12" t="s">
        <v>109</v>
      </c>
      <c r="B107" s="5">
        <v>8904</v>
      </c>
      <c r="C107" s="5">
        <v>124</v>
      </c>
      <c r="D107" s="5">
        <v>8601</v>
      </c>
      <c r="E107" s="5">
        <v>179</v>
      </c>
      <c r="F107" s="5">
        <v>32406372</v>
      </c>
      <c r="G107" s="7" t="s">
        <v>195</v>
      </c>
      <c r="H107" s="14">
        <v>43855</v>
      </c>
      <c r="I107" s="22">
        <f>Table1[[#This Row],[Deaths]]/Table1[[#This Row],[Confirmed]]</f>
        <v>1.3926325247079964E-2</v>
      </c>
      <c r="J107" s="23">
        <f>Table1[[#This Row],[Recovered]]/Table1[[#This Row],[Confirmed]]</f>
        <v>0.96597035040431267</v>
      </c>
      <c r="K107" s="22">
        <f>Table1[[#This Row],[Confirmed]]/Table1[[#This Row],[Population]]</f>
        <v>2.7476077852837093E-4</v>
      </c>
      <c r="L107" s="24" t="str">
        <f>IF(Table1[[#This Row],[Death_Rate]]&gt; 5%,"High_Risk",IF(Table1[[#This Row],[Death_Rate]] &gt;= 2%,"Moderate_Risk","Low_Risk"))</f>
        <v>Low_Risk</v>
      </c>
    </row>
    <row r="108" spans="1:19" ht="18" customHeight="1" x14ac:dyDescent="0.25">
      <c r="A108" s="11" t="s">
        <v>110</v>
      </c>
      <c r="B108" s="4">
        <v>3369</v>
      </c>
      <c r="C108" s="4">
        <v>15</v>
      </c>
      <c r="D108" s="4">
        <v>2547</v>
      </c>
      <c r="E108" s="4">
        <v>807</v>
      </c>
      <c r="F108" s="4">
        <v>541448</v>
      </c>
      <c r="G108" s="6" t="s">
        <v>195</v>
      </c>
      <c r="H108" s="13">
        <v>43897</v>
      </c>
      <c r="I108" s="22">
        <f>Table1[[#This Row],[Deaths]]/Table1[[#This Row],[Confirmed]]</f>
        <v>4.4523597506678537E-3</v>
      </c>
      <c r="J108" s="23">
        <f>Table1[[#This Row],[Recovered]]/Table1[[#This Row],[Confirmed]]</f>
        <v>0.75601068566340157</v>
      </c>
      <c r="K108" s="22">
        <f>Table1[[#This Row],[Confirmed]]/Table1[[#This Row],[Population]]</f>
        <v>6.2222041636500643E-3</v>
      </c>
      <c r="L108" s="24" t="str">
        <f>IF(Table1[[#This Row],[Death_Rate]]&gt; 5%,"High_Risk",IF(Table1[[#This Row],[Death_Rate]] &gt;= 2%,"Moderate_Risk","Low_Risk"))</f>
        <v>Low_Risk</v>
      </c>
    </row>
    <row r="109" spans="1:19" ht="18" customHeight="1" x14ac:dyDescent="0.25">
      <c r="A109" s="12" t="s">
        <v>111</v>
      </c>
      <c r="B109" s="5">
        <v>2513</v>
      </c>
      <c r="C109" s="5">
        <v>124</v>
      </c>
      <c r="D109" s="5">
        <v>1913</v>
      </c>
      <c r="E109" s="5">
        <v>476</v>
      </c>
      <c r="F109" s="5">
        <v>20302901</v>
      </c>
      <c r="G109" s="7" t="s">
        <v>197</v>
      </c>
      <c r="H109" s="14">
        <v>43915</v>
      </c>
      <c r="I109" s="22">
        <f>Table1[[#This Row],[Deaths]]/Table1[[#This Row],[Confirmed]]</f>
        <v>4.9343414245921209E-2</v>
      </c>
      <c r="J109" s="23">
        <f>Table1[[#This Row],[Recovered]]/Table1[[#This Row],[Confirmed]]</f>
        <v>0.76124154397134902</v>
      </c>
      <c r="K109" s="22">
        <f>Table1[[#This Row],[Confirmed]]/Table1[[#This Row],[Population]]</f>
        <v>1.2377541514880066E-4</v>
      </c>
      <c r="L109" s="24" t="str">
        <f>IF(Table1[[#This Row],[Death_Rate]]&gt; 5%,"High_Risk",IF(Table1[[#This Row],[Death_Rate]] &gt;= 2%,"Moderate_Risk","Low_Risk"))</f>
        <v>Moderate_Risk</v>
      </c>
    </row>
    <row r="110" spans="1:19" ht="18" customHeight="1" x14ac:dyDescent="0.25">
      <c r="A110" s="11" t="s">
        <v>112</v>
      </c>
      <c r="B110" s="4">
        <v>701</v>
      </c>
      <c r="C110" s="4">
        <v>9</v>
      </c>
      <c r="D110" s="4">
        <v>665</v>
      </c>
      <c r="E110" s="4">
        <v>27</v>
      </c>
      <c r="F110" s="4">
        <v>441663</v>
      </c>
      <c r="G110" s="6" t="s">
        <v>196</v>
      </c>
      <c r="H110" s="13">
        <v>43897</v>
      </c>
      <c r="I110" s="22">
        <f>Table1[[#This Row],[Deaths]]/Table1[[#This Row],[Confirmed]]</f>
        <v>1.2838801711840228E-2</v>
      </c>
      <c r="J110" s="23">
        <f>Table1[[#This Row],[Recovered]]/Table1[[#This Row],[Confirmed]]</f>
        <v>0.94864479315263905</v>
      </c>
      <c r="K110" s="22">
        <f>Table1[[#This Row],[Confirmed]]/Table1[[#This Row],[Population]]</f>
        <v>1.5871829879342395E-3</v>
      </c>
      <c r="L110" s="24" t="str">
        <f>IF(Table1[[#This Row],[Death_Rate]]&gt; 5%,"High_Risk",IF(Table1[[#This Row],[Death_Rate]] &gt;= 2%,"Moderate_Risk","Low_Risk"))</f>
        <v>Low_Risk</v>
      </c>
    </row>
    <row r="111" spans="1:19" ht="18" customHeight="1" x14ac:dyDescent="0.25">
      <c r="A111" s="12" t="s">
        <v>113</v>
      </c>
      <c r="B111" s="5">
        <v>6208</v>
      </c>
      <c r="C111" s="5">
        <v>156</v>
      </c>
      <c r="D111" s="5">
        <v>4653</v>
      </c>
      <c r="E111" s="5">
        <v>1399</v>
      </c>
      <c r="F111" s="5">
        <v>4660728</v>
      </c>
      <c r="G111" s="7" t="s">
        <v>197</v>
      </c>
      <c r="H111" s="14">
        <v>43903</v>
      </c>
      <c r="I111" s="22">
        <f>Table1[[#This Row],[Deaths]]/Table1[[#This Row],[Confirmed]]</f>
        <v>2.5128865979381444E-2</v>
      </c>
      <c r="J111" s="23">
        <f>Table1[[#This Row],[Recovered]]/Table1[[#This Row],[Confirmed]]</f>
        <v>0.74951675257731953</v>
      </c>
      <c r="K111" s="22">
        <f>Table1[[#This Row],[Confirmed]]/Table1[[#This Row],[Population]]</f>
        <v>1.3319807549378553E-3</v>
      </c>
      <c r="L111" s="24" t="str">
        <f>IF(Table1[[#This Row],[Death_Rate]]&gt; 5%,"High_Risk",IF(Table1[[#This Row],[Death_Rate]] &gt;= 2%,"Moderate_Risk","Low_Risk"))</f>
        <v>Moderate_Risk</v>
      </c>
    </row>
    <row r="112" spans="1:19" ht="18" customHeight="1" x14ac:dyDescent="0.25">
      <c r="A112" s="11" t="s">
        <v>114</v>
      </c>
      <c r="B112" s="4">
        <v>344</v>
      </c>
      <c r="C112" s="4">
        <v>10</v>
      </c>
      <c r="D112" s="4">
        <v>332</v>
      </c>
      <c r="E112" s="4">
        <v>2</v>
      </c>
      <c r="F112" s="4">
        <v>1271985</v>
      </c>
      <c r="G112" s="6" t="s">
        <v>197</v>
      </c>
      <c r="H112" s="13">
        <v>43908</v>
      </c>
      <c r="I112" s="22">
        <f>Table1[[#This Row],[Deaths]]/Table1[[#This Row],[Confirmed]]</f>
        <v>2.9069767441860465E-2</v>
      </c>
      <c r="J112" s="23">
        <f>Table1[[#This Row],[Recovered]]/Table1[[#This Row],[Confirmed]]</f>
        <v>0.96511627906976749</v>
      </c>
      <c r="K112" s="22">
        <f>Table1[[#This Row],[Confirmed]]/Table1[[#This Row],[Population]]</f>
        <v>2.7044344076384549E-4</v>
      </c>
      <c r="L112" s="24" t="str">
        <f>IF(Table1[[#This Row],[Death_Rate]]&gt; 5%,"High_Risk",IF(Table1[[#This Row],[Death_Rate]] &gt;= 2%,"Moderate_Risk","Low_Risk"))</f>
        <v>Moderate_Risk</v>
      </c>
    </row>
    <row r="113" spans="1:12" ht="18" customHeight="1" x14ac:dyDescent="0.25">
      <c r="A113" s="12" t="s">
        <v>115</v>
      </c>
      <c r="B113" s="5">
        <v>395489</v>
      </c>
      <c r="C113" s="5">
        <v>44022</v>
      </c>
      <c r="D113" s="5">
        <v>303810</v>
      </c>
      <c r="E113" s="5">
        <v>47657</v>
      </c>
      <c r="F113" s="5">
        <v>129066160</v>
      </c>
      <c r="G113" s="7" t="s">
        <v>198</v>
      </c>
      <c r="H113" s="14">
        <v>43889</v>
      </c>
      <c r="I113" s="22">
        <f>Table1[[#This Row],[Deaths]]/Table1[[#This Row],[Confirmed]]</f>
        <v>0.11131030193001576</v>
      </c>
      <c r="J113" s="23">
        <f>Table1[[#This Row],[Recovered]]/Table1[[#This Row],[Confirmed]]</f>
        <v>0.7681882429094109</v>
      </c>
      <c r="K113" s="22">
        <f>Table1[[#This Row],[Confirmed]]/Table1[[#This Row],[Population]]</f>
        <v>3.0642346529872739E-3</v>
      </c>
      <c r="L113" s="24" t="str">
        <f>IF(Table1[[#This Row],[Death_Rate]]&gt; 5%,"High_Risk",IF(Table1[[#This Row],[Death_Rate]] &gt;= 2%,"Moderate_Risk","Low_Risk"))</f>
        <v>High_Risk</v>
      </c>
    </row>
    <row r="114" spans="1:12" ht="18" customHeight="1" x14ac:dyDescent="0.25">
      <c r="A114" s="11" t="s">
        <v>116</v>
      </c>
      <c r="B114" s="4">
        <v>23154</v>
      </c>
      <c r="C114" s="4">
        <v>748</v>
      </c>
      <c r="D114" s="4">
        <v>16154</v>
      </c>
      <c r="E114" s="4">
        <v>6252</v>
      </c>
      <c r="F114" s="4">
        <v>4032983</v>
      </c>
      <c r="G114" s="6" t="s">
        <v>196</v>
      </c>
      <c r="H114" s="13">
        <v>43897</v>
      </c>
      <c r="I114" s="22">
        <f>Table1[[#This Row],[Deaths]]/Table1[[#This Row],[Confirmed]]</f>
        <v>3.2305433186490456E-2</v>
      </c>
      <c r="J114" s="23">
        <f>Table1[[#This Row],[Recovered]]/Table1[[#This Row],[Confirmed]]</f>
        <v>0.69767642739915348</v>
      </c>
      <c r="K114" s="22">
        <f>Table1[[#This Row],[Confirmed]]/Table1[[#This Row],[Population]]</f>
        <v>5.7411598313208854E-3</v>
      </c>
      <c r="L114" s="24" t="str">
        <f>IF(Table1[[#This Row],[Death_Rate]]&gt; 5%,"High_Risk",IF(Table1[[#This Row],[Death_Rate]] &gt;= 2%,"Moderate_Risk","Low_Risk"))</f>
        <v>Moderate_Risk</v>
      </c>
    </row>
    <row r="115" spans="1:12" ht="18" customHeight="1" x14ac:dyDescent="0.25">
      <c r="A115" s="12" t="s">
        <v>117</v>
      </c>
      <c r="B115" s="5">
        <v>116</v>
      </c>
      <c r="C115" s="5">
        <v>4</v>
      </c>
      <c r="D115" s="5">
        <v>104</v>
      </c>
      <c r="E115" s="5">
        <v>8</v>
      </c>
      <c r="F115" s="5">
        <v>39270</v>
      </c>
      <c r="G115" s="7" t="s">
        <v>196</v>
      </c>
      <c r="H115" s="14">
        <v>43890</v>
      </c>
      <c r="I115" s="22">
        <f>Table1[[#This Row],[Deaths]]/Table1[[#This Row],[Confirmed]]</f>
        <v>3.4482758620689655E-2</v>
      </c>
      <c r="J115" s="23">
        <f>Table1[[#This Row],[Recovered]]/Table1[[#This Row],[Confirmed]]</f>
        <v>0.89655172413793105</v>
      </c>
      <c r="K115" s="22">
        <f>Table1[[#This Row],[Confirmed]]/Table1[[#This Row],[Population]]</f>
        <v>2.9539088362617776E-3</v>
      </c>
      <c r="L115" s="24" t="str">
        <f>IF(Table1[[#This Row],[Death_Rate]]&gt; 5%,"High_Risk",IF(Table1[[#This Row],[Death_Rate]] &gt;= 2%,"Moderate_Risk","Low_Risk"))</f>
        <v>Moderate_Risk</v>
      </c>
    </row>
    <row r="116" spans="1:12" ht="18" customHeight="1" x14ac:dyDescent="0.25">
      <c r="A116" s="11" t="s">
        <v>118</v>
      </c>
      <c r="B116" s="4">
        <v>289</v>
      </c>
      <c r="C116" s="4">
        <v>0</v>
      </c>
      <c r="D116" s="4">
        <v>222</v>
      </c>
      <c r="E116" s="4">
        <v>67</v>
      </c>
      <c r="F116" s="4">
        <v>3283344</v>
      </c>
      <c r="G116" s="6" t="s">
        <v>195</v>
      </c>
      <c r="H116" s="13">
        <v>43900</v>
      </c>
      <c r="I116" s="22">
        <f>Table1[[#This Row],[Deaths]]/Table1[[#This Row],[Confirmed]]</f>
        <v>0</v>
      </c>
      <c r="J116" s="23">
        <f>Table1[[#This Row],[Recovered]]/Table1[[#This Row],[Confirmed]]</f>
        <v>0.76816608996539792</v>
      </c>
      <c r="K116" s="22">
        <f>Table1[[#This Row],[Confirmed]]/Table1[[#This Row],[Population]]</f>
        <v>8.8020018615167948E-5</v>
      </c>
      <c r="L116" s="24" t="str">
        <f>IF(Table1[[#This Row],[Death_Rate]]&gt; 5%,"High_Risk",IF(Table1[[#This Row],[Death_Rate]] &gt;= 2%,"Moderate_Risk","Low_Risk"))</f>
        <v>Low_Risk</v>
      </c>
    </row>
    <row r="117" spans="1:12" ht="18" customHeight="1" x14ac:dyDescent="0.25">
      <c r="A117" s="12" t="s">
        <v>119</v>
      </c>
      <c r="B117" s="5">
        <v>2893</v>
      </c>
      <c r="C117" s="5">
        <v>45</v>
      </c>
      <c r="D117" s="5">
        <v>809</v>
      </c>
      <c r="E117" s="5">
        <v>2039</v>
      </c>
      <c r="F117" s="5">
        <v>628074</v>
      </c>
      <c r="G117" s="7" t="s">
        <v>196</v>
      </c>
      <c r="H117" s="14">
        <v>43907</v>
      </c>
      <c r="I117" s="22">
        <f>Table1[[#This Row],[Deaths]]/Table1[[#This Row],[Confirmed]]</f>
        <v>1.5554787417905289E-2</v>
      </c>
      <c r="J117" s="23">
        <f>Table1[[#This Row],[Recovered]]/Table1[[#This Row],[Confirmed]]</f>
        <v>0.27964051157967507</v>
      </c>
      <c r="K117" s="22">
        <f>Table1[[#This Row],[Confirmed]]/Table1[[#This Row],[Population]]</f>
        <v>4.6061451357642573E-3</v>
      </c>
      <c r="L117" s="24" t="str">
        <f>IF(Table1[[#This Row],[Death_Rate]]&gt; 5%,"High_Risk",IF(Table1[[#This Row],[Death_Rate]] &gt;= 2%,"Moderate_Risk","Low_Risk"))</f>
        <v>Low_Risk</v>
      </c>
    </row>
    <row r="118" spans="1:12" ht="18" customHeight="1" x14ac:dyDescent="0.25">
      <c r="A118" s="11" t="s">
        <v>120</v>
      </c>
      <c r="B118" s="4">
        <v>20887</v>
      </c>
      <c r="C118" s="4">
        <v>316</v>
      </c>
      <c r="D118" s="4">
        <v>16553</v>
      </c>
      <c r="E118" s="4">
        <v>4018</v>
      </c>
      <c r="F118" s="4">
        <v>36953359</v>
      </c>
      <c r="G118" s="6" t="s">
        <v>197</v>
      </c>
      <c r="H118" s="13">
        <v>43892</v>
      </c>
      <c r="I118" s="22">
        <f>Table1[[#This Row],[Deaths]]/Table1[[#This Row],[Confirmed]]</f>
        <v>1.5129027624838417E-2</v>
      </c>
      <c r="J118" s="23">
        <f>Table1[[#This Row],[Recovered]]/Table1[[#This Row],[Confirmed]]</f>
        <v>0.79250251352515921</v>
      </c>
      <c r="K118" s="22">
        <f>Table1[[#This Row],[Confirmed]]/Table1[[#This Row],[Population]]</f>
        <v>5.6522601910153822E-4</v>
      </c>
      <c r="L118" s="24" t="str">
        <f>IF(Table1[[#This Row],[Death_Rate]]&gt; 5%,"High_Risk",IF(Table1[[#This Row],[Death_Rate]] &gt;= 2%,"Moderate_Risk","Low_Risk"))</f>
        <v>Low_Risk</v>
      </c>
    </row>
    <row r="119" spans="1:12" ht="18" customHeight="1" x14ac:dyDescent="0.25">
      <c r="A119" s="12" t="s">
        <v>121</v>
      </c>
      <c r="B119" s="5">
        <v>1701</v>
      </c>
      <c r="C119" s="5">
        <v>11</v>
      </c>
      <c r="D119" s="5">
        <v>0</v>
      </c>
      <c r="E119" s="5">
        <v>1690</v>
      </c>
      <c r="F119" s="5">
        <v>31333962</v>
      </c>
      <c r="G119" s="7" t="s">
        <v>197</v>
      </c>
      <c r="H119" s="14">
        <v>43912</v>
      </c>
      <c r="I119" s="22">
        <f>Table1[[#This Row],[Deaths]]/Table1[[#This Row],[Confirmed]]</f>
        <v>6.4667842445620223E-3</v>
      </c>
      <c r="J119" s="23">
        <f>Table1[[#This Row],[Recovered]]/Table1[[#This Row],[Confirmed]]</f>
        <v>0</v>
      </c>
      <c r="K119" s="22">
        <f>Table1[[#This Row],[Confirmed]]/Table1[[#This Row],[Population]]</f>
        <v>5.4286144854583022E-5</v>
      </c>
      <c r="L119" s="24" t="str">
        <f>IF(Table1[[#This Row],[Death_Rate]]&gt; 5%,"High_Risk",IF(Table1[[#This Row],[Death_Rate]] &gt;= 2%,"Moderate_Risk","Low_Risk"))</f>
        <v>Low_Risk</v>
      </c>
    </row>
    <row r="120" spans="1:12" ht="18" customHeight="1" x14ac:dyDescent="0.25">
      <c r="A120" s="11" t="s">
        <v>122</v>
      </c>
      <c r="B120" s="4">
        <v>1843</v>
      </c>
      <c r="C120" s="4">
        <v>8</v>
      </c>
      <c r="D120" s="4">
        <v>101</v>
      </c>
      <c r="E120" s="4">
        <v>1734</v>
      </c>
      <c r="F120" s="4">
        <v>2545264</v>
      </c>
      <c r="G120" s="6" t="s">
        <v>197</v>
      </c>
      <c r="H120" s="13">
        <v>43904</v>
      </c>
      <c r="I120" s="22">
        <f>Table1[[#This Row],[Deaths]]/Table1[[#This Row],[Confirmed]]</f>
        <v>4.3407487791644059E-3</v>
      </c>
      <c r="J120" s="23">
        <f>Table1[[#This Row],[Recovered]]/Table1[[#This Row],[Confirmed]]</f>
        <v>5.4801953336950621E-2</v>
      </c>
      <c r="K120" s="22">
        <f>Table1[[#This Row],[Confirmed]]/Table1[[#This Row],[Population]]</f>
        <v>7.2408991758811663E-4</v>
      </c>
      <c r="L120" s="24" t="str">
        <f>IF(Table1[[#This Row],[Death_Rate]]&gt; 5%,"High_Risk",IF(Table1[[#This Row],[Death_Rate]] &gt;= 2%,"Moderate_Risk","Low_Risk"))</f>
        <v>Low_Risk</v>
      </c>
    </row>
    <row r="121" spans="1:12" ht="18" customHeight="1" x14ac:dyDescent="0.25">
      <c r="A121" s="12" t="s">
        <v>123</v>
      </c>
      <c r="B121" s="5">
        <v>18752</v>
      </c>
      <c r="C121" s="5">
        <v>48</v>
      </c>
      <c r="D121" s="5">
        <v>13754</v>
      </c>
      <c r="E121" s="5">
        <v>4950</v>
      </c>
      <c r="F121" s="5">
        <v>29186486</v>
      </c>
      <c r="G121" s="7" t="s">
        <v>195</v>
      </c>
      <c r="H121" s="14">
        <v>43843</v>
      </c>
      <c r="I121" s="22">
        <f>Table1[[#This Row],[Deaths]]/Table1[[#This Row],[Confirmed]]</f>
        <v>2.5597269624573378E-3</v>
      </c>
      <c r="J121" s="23">
        <f>Table1[[#This Row],[Recovered]]/Table1[[#This Row],[Confirmed]]</f>
        <v>0.73346843003412965</v>
      </c>
      <c r="K121" s="22">
        <f>Table1[[#This Row],[Confirmed]]/Table1[[#This Row],[Population]]</f>
        <v>6.4248913007204774E-4</v>
      </c>
      <c r="L121" s="24" t="str">
        <f>IF(Table1[[#This Row],[Death_Rate]]&gt; 5%,"High_Risk",IF(Table1[[#This Row],[Death_Rate]] &gt;= 2%,"Moderate_Risk","Low_Risk"))</f>
        <v>Low_Risk</v>
      </c>
    </row>
    <row r="122" spans="1:12" ht="18" customHeight="1" x14ac:dyDescent="0.25">
      <c r="A122" s="11" t="s">
        <v>124</v>
      </c>
      <c r="B122" s="4">
        <v>53413</v>
      </c>
      <c r="C122" s="4">
        <v>6160</v>
      </c>
      <c r="D122" s="4">
        <v>189</v>
      </c>
      <c r="E122" s="4">
        <v>47064</v>
      </c>
      <c r="F122" s="4">
        <v>17138756</v>
      </c>
      <c r="G122" s="6" t="s">
        <v>196</v>
      </c>
      <c r="H122" s="13">
        <v>43888</v>
      </c>
      <c r="I122" s="22">
        <f>Table1[[#This Row],[Deaths]]/Table1[[#This Row],[Confirmed]]</f>
        <v>0.11532772920450078</v>
      </c>
      <c r="J122" s="23">
        <f>Table1[[#This Row],[Recovered]]/Table1[[#This Row],[Confirmed]]</f>
        <v>3.5384644187744555E-3</v>
      </c>
      <c r="K122" s="22">
        <f>Table1[[#This Row],[Confirmed]]/Table1[[#This Row],[Population]]</f>
        <v>3.1165039049508613E-3</v>
      </c>
      <c r="L122" s="24" t="str">
        <f>IF(Table1[[#This Row],[Death_Rate]]&gt; 5%,"High_Risk",IF(Table1[[#This Row],[Death_Rate]] &gt;= 2%,"Moderate_Risk","Low_Risk"))</f>
        <v>High_Risk</v>
      </c>
    </row>
    <row r="123" spans="1:12" ht="18" customHeight="1" x14ac:dyDescent="0.25">
      <c r="A123" s="12" t="s">
        <v>125</v>
      </c>
      <c r="B123" s="5">
        <v>1557</v>
      </c>
      <c r="C123" s="5">
        <v>22</v>
      </c>
      <c r="D123" s="5">
        <v>1514</v>
      </c>
      <c r="E123" s="5">
        <v>21</v>
      </c>
      <c r="F123" s="5">
        <v>5002100</v>
      </c>
      <c r="G123" s="7" t="s">
        <v>200</v>
      </c>
      <c r="H123" s="14">
        <v>43889</v>
      </c>
      <c r="I123" s="22">
        <f>Table1[[#This Row],[Deaths]]/Table1[[#This Row],[Confirmed]]</f>
        <v>1.4129736673089274E-2</v>
      </c>
      <c r="J123" s="23">
        <f>Table1[[#This Row],[Recovered]]/Table1[[#This Row],[Confirmed]]</f>
        <v>0.97238278741168915</v>
      </c>
      <c r="K123" s="22">
        <f>Table1[[#This Row],[Confirmed]]/Table1[[#This Row],[Population]]</f>
        <v>3.112692669078987E-4</v>
      </c>
      <c r="L123" s="24" t="str">
        <f>IF(Table1[[#This Row],[Death_Rate]]&gt; 5%,"High_Risk",IF(Table1[[#This Row],[Death_Rate]] &gt;= 2%,"Moderate_Risk","Low_Risk"))</f>
        <v>Low_Risk</v>
      </c>
    </row>
    <row r="124" spans="1:12" ht="18" customHeight="1" x14ac:dyDescent="0.25">
      <c r="A124" s="11" t="s">
        <v>126</v>
      </c>
      <c r="B124" s="4">
        <v>3439</v>
      </c>
      <c r="C124" s="4">
        <v>108</v>
      </c>
      <c r="D124" s="4">
        <v>2492</v>
      </c>
      <c r="E124" s="4">
        <v>839</v>
      </c>
      <c r="F124" s="4">
        <v>6632263</v>
      </c>
      <c r="G124" s="6" t="s">
        <v>198</v>
      </c>
      <c r="H124" s="13">
        <v>43908</v>
      </c>
      <c r="I124" s="22">
        <f>Table1[[#This Row],[Deaths]]/Table1[[#This Row],[Confirmed]]</f>
        <v>3.1404478045943589E-2</v>
      </c>
      <c r="J124" s="23">
        <f>Table1[[#This Row],[Recovered]]/Table1[[#This Row],[Confirmed]]</f>
        <v>0.72462925268973544</v>
      </c>
      <c r="K124" s="22">
        <f>Table1[[#This Row],[Confirmed]]/Table1[[#This Row],[Population]]</f>
        <v>5.1852587872344626E-4</v>
      </c>
      <c r="L124" s="24" t="str">
        <f>IF(Table1[[#This Row],[Death_Rate]]&gt; 5%,"High_Risk",IF(Table1[[#This Row],[Death_Rate]] &gt;= 2%,"Moderate_Risk","Low_Risk"))</f>
        <v>Moderate_Risk</v>
      </c>
    </row>
    <row r="125" spans="1:12" ht="18" customHeight="1" x14ac:dyDescent="0.25">
      <c r="A125" s="12" t="s">
        <v>127</v>
      </c>
      <c r="B125" s="5">
        <v>1132</v>
      </c>
      <c r="C125" s="5">
        <v>69</v>
      </c>
      <c r="D125" s="5">
        <v>1027</v>
      </c>
      <c r="E125" s="5">
        <v>36</v>
      </c>
      <c r="F125" s="5">
        <v>24281433</v>
      </c>
      <c r="G125" s="7" t="s">
        <v>197</v>
      </c>
      <c r="H125" s="14">
        <v>43909</v>
      </c>
      <c r="I125" s="22">
        <f>Table1[[#This Row],[Deaths]]/Table1[[#This Row],[Confirmed]]</f>
        <v>6.0954063604240286E-2</v>
      </c>
      <c r="J125" s="23">
        <f>Table1[[#This Row],[Recovered]]/Table1[[#This Row],[Confirmed]]</f>
        <v>0.90724381625441697</v>
      </c>
      <c r="K125" s="22">
        <f>Table1[[#This Row],[Confirmed]]/Table1[[#This Row],[Population]]</f>
        <v>4.6619983260460779E-5</v>
      </c>
      <c r="L125" s="24" t="str">
        <f>IF(Table1[[#This Row],[Death_Rate]]&gt; 5%,"High_Risk",IF(Table1[[#This Row],[Death_Rate]] &gt;= 2%,"Moderate_Risk","Low_Risk"))</f>
        <v>High_Risk</v>
      </c>
    </row>
    <row r="126" spans="1:12" ht="18" customHeight="1" x14ac:dyDescent="0.25">
      <c r="A126" s="11" t="s">
        <v>128</v>
      </c>
      <c r="B126" s="4">
        <v>41180</v>
      </c>
      <c r="C126" s="4">
        <v>860</v>
      </c>
      <c r="D126" s="4">
        <v>18203</v>
      </c>
      <c r="E126" s="4">
        <v>22117</v>
      </c>
      <c r="F126" s="4">
        <v>206606300</v>
      </c>
      <c r="G126" s="6" t="s">
        <v>197</v>
      </c>
      <c r="H126" s="13">
        <v>43888</v>
      </c>
      <c r="I126" s="22">
        <f>Table1[[#This Row],[Deaths]]/Table1[[#This Row],[Confirmed]]</f>
        <v>2.0883924235065566E-2</v>
      </c>
      <c r="J126" s="23">
        <f>Table1[[#This Row],[Recovered]]/Table1[[#This Row],[Confirmed]]</f>
        <v>0.44203496843127732</v>
      </c>
      <c r="K126" s="22">
        <f>Table1[[#This Row],[Confirmed]]/Table1[[#This Row],[Population]]</f>
        <v>1.9931628415977636E-4</v>
      </c>
      <c r="L126" s="24" t="str">
        <f>IF(Table1[[#This Row],[Death_Rate]]&gt; 5%,"High_Risk",IF(Table1[[#This Row],[Death_Rate]] &gt;= 2%,"Moderate_Risk","Low_Risk"))</f>
        <v>Moderate_Risk</v>
      </c>
    </row>
    <row r="127" spans="1:12" ht="18" customHeight="1" x14ac:dyDescent="0.25">
      <c r="A127" s="12" t="s">
        <v>129</v>
      </c>
      <c r="B127" s="5">
        <v>10213</v>
      </c>
      <c r="C127" s="5">
        <v>466</v>
      </c>
      <c r="D127" s="5">
        <v>5564</v>
      </c>
      <c r="E127" s="5">
        <v>4183</v>
      </c>
      <c r="F127" s="5">
        <v>2083365</v>
      </c>
      <c r="G127" s="7" t="s">
        <v>196</v>
      </c>
      <c r="H127" s="14">
        <v>43887</v>
      </c>
      <c r="I127" s="22">
        <f>Table1[[#This Row],[Deaths]]/Table1[[#This Row],[Confirmed]]</f>
        <v>4.5628121022226575E-2</v>
      </c>
      <c r="J127" s="23">
        <f>Table1[[#This Row],[Recovered]]/Table1[[#This Row],[Confirmed]]</f>
        <v>0.54479584842847351</v>
      </c>
      <c r="K127" s="22">
        <f>Table1[[#This Row],[Confirmed]]/Table1[[#This Row],[Population]]</f>
        <v>4.9021654870845966E-3</v>
      </c>
      <c r="L127" s="24" t="str">
        <f>IF(Table1[[#This Row],[Death_Rate]]&gt; 5%,"High_Risk",IF(Table1[[#This Row],[Death_Rate]] &gt;= 2%,"Moderate_Risk","Low_Risk"))</f>
        <v>Moderate_Risk</v>
      </c>
    </row>
    <row r="128" spans="1:12" ht="18" customHeight="1" x14ac:dyDescent="0.25">
      <c r="A128" s="11" t="s">
        <v>130</v>
      </c>
      <c r="B128" s="4">
        <v>9132</v>
      </c>
      <c r="C128" s="4">
        <v>255</v>
      </c>
      <c r="D128" s="4">
        <v>8752</v>
      </c>
      <c r="E128" s="4">
        <v>125</v>
      </c>
      <c r="F128" s="4">
        <v>5425471</v>
      </c>
      <c r="G128" s="6" t="s">
        <v>196</v>
      </c>
      <c r="H128" s="13">
        <v>43887</v>
      </c>
      <c r="I128" s="22">
        <f>Table1[[#This Row],[Deaths]]/Table1[[#This Row],[Confirmed]]</f>
        <v>2.7923784494086726E-2</v>
      </c>
      <c r="J128" s="23">
        <f>Table1[[#This Row],[Recovered]]/Table1[[#This Row],[Confirmed]]</f>
        <v>0.95838808585194923</v>
      </c>
      <c r="K128" s="22">
        <f>Table1[[#This Row],[Confirmed]]/Table1[[#This Row],[Population]]</f>
        <v>1.6831718389057834E-3</v>
      </c>
      <c r="L128" s="24" t="str">
        <f>IF(Table1[[#This Row],[Death_Rate]]&gt; 5%,"High_Risk",IF(Table1[[#This Row],[Death_Rate]] &gt;= 2%,"Moderate_Risk","Low_Risk"))</f>
        <v>Moderate_Risk</v>
      </c>
    </row>
    <row r="129" spans="1:12" ht="18" customHeight="1" x14ac:dyDescent="0.25">
      <c r="A129" s="12" t="s">
        <v>131</v>
      </c>
      <c r="B129" s="5">
        <v>77058</v>
      </c>
      <c r="C129" s="5">
        <v>393</v>
      </c>
      <c r="D129" s="5">
        <v>57028</v>
      </c>
      <c r="E129" s="5">
        <v>19637</v>
      </c>
      <c r="F129" s="5">
        <v>5118446</v>
      </c>
      <c r="G129" s="7" t="s">
        <v>195</v>
      </c>
      <c r="H129" s="14">
        <v>43885</v>
      </c>
      <c r="I129" s="22">
        <f>Table1[[#This Row],[Deaths]]/Table1[[#This Row],[Confirmed]]</f>
        <v>5.1000545043992833E-3</v>
      </c>
      <c r="J129" s="23">
        <f>Table1[[#This Row],[Recovered]]/Table1[[#This Row],[Confirmed]]</f>
        <v>0.74006592436865737</v>
      </c>
      <c r="K129" s="22">
        <f>Table1[[#This Row],[Confirmed]]/Table1[[#This Row],[Population]]</f>
        <v>1.5054960040606075E-2</v>
      </c>
      <c r="L129" s="24" t="str">
        <f>IF(Table1[[#This Row],[Death_Rate]]&gt; 5%,"High_Risk",IF(Table1[[#This Row],[Death_Rate]] &gt;= 2%,"Moderate_Risk","Low_Risk"))</f>
        <v>Low_Risk</v>
      </c>
    </row>
    <row r="130" spans="1:12" ht="18" customHeight="1" x14ac:dyDescent="0.25">
      <c r="A130" s="11" t="s">
        <v>132</v>
      </c>
      <c r="B130" s="4">
        <v>274289</v>
      </c>
      <c r="C130" s="4">
        <v>5842</v>
      </c>
      <c r="D130" s="4">
        <v>241026</v>
      </c>
      <c r="E130" s="4">
        <v>27421</v>
      </c>
      <c r="F130" s="4">
        <v>221295851</v>
      </c>
      <c r="G130" s="6" t="s">
        <v>195</v>
      </c>
      <c r="H130" s="13">
        <v>43887</v>
      </c>
      <c r="I130" s="22">
        <f>Table1[[#This Row],[Deaths]]/Table1[[#This Row],[Confirmed]]</f>
        <v>2.1298703192618004E-2</v>
      </c>
      <c r="J130" s="23">
        <f>Table1[[#This Row],[Recovered]]/Table1[[#This Row],[Confirmed]]</f>
        <v>0.8787300985456945</v>
      </c>
      <c r="K130" s="22">
        <f>Table1[[#This Row],[Confirmed]]/Table1[[#This Row],[Population]]</f>
        <v>1.2394674313166406E-3</v>
      </c>
      <c r="L130" s="24" t="str">
        <f>IF(Table1[[#This Row],[Death_Rate]]&gt; 5%,"High_Risk",IF(Table1[[#This Row],[Death_Rate]] &gt;= 2%,"Moderate_Risk","Low_Risk"))</f>
        <v>Moderate_Risk</v>
      </c>
    </row>
    <row r="131" spans="1:12" ht="18" customHeight="1" x14ac:dyDescent="0.25">
      <c r="A131" s="12" t="s">
        <v>133</v>
      </c>
      <c r="B131" s="5">
        <v>61442</v>
      </c>
      <c r="C131" s="5">
        <v>1322</v>
      </c>
      <c r="D131" s="5">
        <v>35086</v>
      </c>
      <c r="E131" s="5">
        <v>25034</v>
      </c>
      <c r="F131" s="5">
        <v>5112340</v>
      </c>
      <c r="G131" s="7" t="s">
        <v>195</v>
      </c>
      <c r="H131" s="14">
        <v>43899</v>
      </c>
      <c r="I131" s="22">
        <f>Table1[[#This Row],[Deaths]]/Table1[[#This Row],[Confirmed]]</f>
        <v>2.1516226685329255E-2</v>
      </c>
      <c r="J131" s="23">
        <f>Table1[[#This Row],[Recovered]]/Table1[[#This Row],[Confirmed]]</f>
        <v>0.57104260929006212</v>
      </c>
      <c r="K131" s="22">
        <f>Table1[[#This Row],[Confirmed]]/Table1[[#This Row],[Population]]</f>
        <v>1.2018371235089998E-2</v>
      </c>
      <c r="L131" s="24" t="str">
        <f>IF(Table1[[#This Row],[Death_Rate]]&gt; 5%,"High_Risk",IF(Table1[[#This Row],[Death_Rate]] &gt;= 2%,"Moderate_Risk","Low_Risk"))</f>
        <v>Moderate_Risk</v>
      </c>
    </row>
    <row r="132" spans="1:12" ht="18" customHeight="1" x14ac:dyDescent="0.25">
      <c r="A132" s="11" t="s">
        <v>134</v>
      </c>
      <c r="B132" s="4">
        <v>62</v>
      </c>
      <c r="C132" s="4">
        <v>0</v>
      </c>
      <c r="D132" s="4">
        <v>11</v>
      </c>
      <c r="E132" s="4">
        <v>51</v>
      </c>
      <c r="F132" s="4">
        <v>8963009</v>
      </c>
      <c r="G132" s="6" t="s">
        <v>200</v>
      </c>
      <c r="H132" s="13">
        <v>43910</v>
      </c>
      <c r="I132" s="22">
        <f>Table1[[#This Row],[Deaths]]/Table1[[#This Row],[Confirmed]]</f>
        <v>0</v>
      </c>
      <c r="J132" s="23">
        <f>Table1[[#This Row],[Recovered]]/Table1[[#This Row],[Confirmed]]</f>
        <v>0.17741935483870969</v>
      </c>
      <c r="K132" s="22">
        <f>Table1[[#This Row],[Confirmed]]/Table1[[#This Row],[Population]]</f>
        <v>6.9173198420307291E-6</v>
      </c>
      <c r="L132" s="24" t="str">
        <f>IF(Table1[[#This Row],[Death_Rate]]&gt; 5%,"High_Risk",IF(Table1[[#This Row],[Death_Rate]] &gt;= 2%,"Moderate_Risk","Low_Risk"))</f>
        <v>Low_Risk</v>
      </c>
    </row>
    <row r="133" spans="1:12" ht="18" customHeight="1" x14ac:dyDescent="0.25">
      <c r="A133" s="12" t="s">
        <v>135</v>
      </c>
      <c r="B133" s="5">
        <v>4548</v>
      </c>
      <c r="C133" s="5">
        <v>43</v>
      </c>
      <c r="D133" s="5">
        <v>2905</v>
      </c>
      <c r="E133" s="5">
        <v>1600</v>
      </c>
      <c r="F133" s="5">
        <v>7141091</v>
      </c>
      <c r="G133" s="7" t="s">
        <v>199</v>
      </c>
      <c r="H133" s="14">
        <v>43897</v>
      </c>
      <c r="I133" s="22">
        <f>Table1[[#This Row],[Deaths]]/Table1[[#This Row],[Confirmed]]</f>
        <v>9.4547053649956022E-3</v>
      </c>
      <c r="J133" s="23">
        <f>Table1[[#This Row],[Recovered]]/Table1[[#This Row],[Confirmed]]</f>
        <v>0.63874230430958667</v>
      </c>
      <c r="K133" s="22">
        <f>Table1[[#This Row],[Confirmed]]/Table1[[#This Row],[Population]]</f>
        <v>6.368774743243014E-4</v>
      </c>
      <c r="L133" s="24" t="str">
        <f>IF(Table1[[#This Row],[Death_Rate]]&gt; 5%,"High_Risk",IF(Table1[[#This Row],[Death_Rate]] &gt;= 2%,"Moderate_Risk","Low_Risk"))</f>
        <v>Low_Risk</v>
      </c>
    </row>
    <row r="134" spans="1:12" ht="18" customHeight="1" x14ac:dyDescent="0.25">
      <c r="A134" s="11" t="s">
        <v>136</v>
      </c>
      <c r="B134" s="4">
        <v>389717</v>
      </c>
      <c r="C134" s="4">
        <v>18418</v>
      </c>
      <c r="D134" s="4">
        <v>272547</v>
      </c>
      <c r="E134" s="4">
        <v>98752</v>
      </c>
      <c r="F134" s="4">
        <v>33016319</v>
      </c>
      <c r="G134" s="6" t="s">
        <v>199</v>
      </c>
      <c r="H134" s="13">
        <v>43896</v>
      </c>
      <c r="I134" s="22">
        <f>Table1[[#This Row],[Deaths]]/Table1[[#This Row],[Confirmed]]</f>
        <v>4.7259934773181564E-2</v>
      </c>
      <c r="J134" s="23">
        <f>Table1[[#This Row],[Recovered]]/Table1[[#This Row],[Confirmed]]</f>
        <v>0.69934593564047753</v>
      </c>
      <c r="K134" s="22">
        <f>Table1[[#This Row],[Confirmed]]/Table1[[#This Row],[Population]]</f>
        <v>1.180376891803111E-2</v>
      </c>
      <c r="L134" s="24" t="str">
        <f>IF(Table1[[#This Row],[Death_Rate]]&gt; 5%,"High_Risk",IF(Table1[[#This Row],[Death_Rate]] &gt;= 2%,"Moderate_Risk","Low_Risk"))</f>
        <v>Moderate_Risk</v>
      </c>
    </row>
    <row r="135" spans="1:12" ht="18" customHeight="1" x14ac:dyDescent="0.25">
      <c r="A135" s="12" t="s">
        <v>137</v>
      </c>
      <c r="B135" s="5">
        <v>82040</v>
      </c>
      <c r="C135" s="5">
        <v>1945</v>
      </c>
      <c r="D135" s="5">
        <v>26446</v>
      </c>
      <c r="E135" s="5">
        <v>53649</v>
      </c>
      <c r="F135" s="5">
        <v>109722719</v>
      </c>
      <c r="G135" s="7" t="s">
        <v>195</v>
      </c>
      <c r="H135" s="14">
        <v>43860</v>
      </c>
      <c r="I135" s="22">
        <f>Table1[[#This Row],[Deaths]]/Table1[[#This Row],[Confirmed]]</f>
        <v>2.370794734275963E-2</v>
      </c>
      <c r="J135" s="23">
        <f>Table1[[#This Row],[Recovered]]/Table1[[#This Row],[Confirmed]]</f>
        <v>0.32235494880546073</v>
      </c>
      <c r="K135" s="22">
        <f>Table1[[#This Row],[Confirmed]]/Table1[[#This Row],[Population]]</f>
        <v>7.4770294381786148E-4</v>
      </c>
      <c r="L135" s="24" t="str">
        <f>IF(Table1[[#This Row],[Death_Rate]]&gt; 5%,"High_Risk",IF(Table1[[#This Row],[Death_Rate]] &gt;= 2%,"Moderate_Risk","Low_Risk"))</f>
        <v>Moderate_Risk</v>
      </c>
    </row>
    <row r="136" spans="1:12" ht="18" customHeight="1" x14ac:dyDescent="0.25">
      <c r="A136" s="11" t="s">
        <v>138</v>
      </c>
      <c r="B136" s="4">
        <v>43402</v>
      </c>
      <c r="C136" s="4">
        <v>1676</v>
      </c>
      <c r="D136" s="4">
        <v>32856</v>
      </c>
      <c r="E136" s="4">
        <v>8870</v>
      </c>
      <c r="F136" s="4">
        <v>37842302</v>
      </c>
      <c r="G136" s="6" t="s">
        <v>196</v>
      </c>
      <c r="H136" s="13">
        <v>43894</v>
      </c>
      <c r="I136" s="22">
        <f>Table1[[#This Row],[Deaths]]/Table1[[#This Row],[Confirmed]]</f>
        <v>3.8615731993917331E-2</v>
      </c>
      <c r="J136" s="23">
        <f>Table1[[#This Row],[Recovered]]/Table1[[#This Row],[Confirmed]]</f>
        <v>0.75701580572323857</v>
      </c>
      <c r="K136" s="22">
        <f>Table1[[#This Row],[Confirmed]]/Table1[[#This Row],[Population]]</f>
        <v>1.1469175421727779E-3</v>
      </c>
      <c r="L136" s="24" t="str">
        <f>IF(Table1[[#This Row],[Death_Rate]]&gt; 5%,"High_Risk",IF(Table1[[#This Row],[Death_Rate]] &gt;= 2%,"Moderate_Risk","Low_Risk"))</f>
        <v>Moderate_Risk</v>
      </c>
    </row>
    <row r="137" spans="1:12" ht="18" customHeight="1" x14ac:dyDescent="0.25">
      <c r="A137" s="12" t="s">
        <v>139</v>
      </c>
      <c r="B137" s="5">
        <v>50299</v>
      </c>
      <c r="C137" s="5">
        <v>1719</v>
      </c>
      <c r="D137" s="5">
        <v>35375</v>
      </c>
      <c r="E137" s="5">
        <v>13205</v>
      </c>
      <c r="F137" s="5">
        <v>10193593</v>
      </c>
      <c r="G137" s="7" t="s">
        <v>196</v>
      </c>
      <c r="H137" s="14">
        <v>43892</v>
      </c>
      <c r="I137" s="22">
        <f>Table1[[#This Row],[Deaths]]/Table1[[#This Row],[Confirmed]]</f>
        <v>3.4175629734189548E-2</v>
      </c>
      <c r="J137" s="23">
        <f>Table1[[#This Row],[Recovered]]/Table1[[#This Row],[Confirmed]]</f>
        <v>0.70329430008548877</v>
      </c>
      <c r="K137" s="22">
        <f>Table1[[#This Row],[Confirmed]]/Table1[[#This Row],[Population]]</f>
        <v>4.9343739739265632E-3</v>
      </c>
      <c r="L137" s="24" t="str">
        <f>IF(Table1[[#This Row],[Death_Rate]]&gt; 5%,"High_Risk",IF(Table1[[#This Row],[Death_Rate]] &gt;= 2%,"Moderate_Risk","Low_Risk"))</f>
        <v>Moderate_Risk</v>
      </c>
    </row>
    <row r="138" spans="1:12" ht="18" customHeight="1" x14ac:dyDescent="0.25">
      <c r="A138" s="11" t="s">
        <v>140</v>
      </c>
      <c r="B138" s="4">
        <v>109597</v>
      </c>
      <c r="C138" s="4">
        <v>165</v>
      </c>
      <c r="D138" s="4">
        <v>106328</v>
      </c>
      <c r="E138" s="4">
        <v>3104</v>
      </c>
      <c r="F138" s="4">
        <v>2807805</v>
      </c>
      <c r="G138" s="6" t="s">
        <v>195</v>
      </c>
      <c r="H138" s="13">
        <v>43888</v>
      </c>
      <c r="I138" s="22">
        <f>Table1[[#This Row],[Deaths]]/Table1[[#This Row],[Confirmed]]</f>
        <v>1.5055156619250528E-3</v>
      </c>
      <c r="J138" s="23">
        <f>Table1[[#This Row],[Recovered]]/Table1[[#This Row],[Confirmed]]</f>
        <v>0.97017254121919394</v>
      </c>
      <c r="K138" s="22">
        <f>Table1[[#This Row],[Confirmed]]/Table1[[#This Row],[Population]]</f>
        <v>3.9032981278970584E-2</v>
      </c>
      <c r="L138" s="24" t="str">
        <f>IF(Table1[[#This Row],[Death_Rate]]&gt; 5%,"High_Risk",IF(Table1[[#This Row],[Death_Rate]] &gt;= 2%,"Moderate_Risk","Low_Risk"))</f>
        <v>Low_Risk</v>
      </c>
    </row>
    <row r="139" spans="1:12" ht="18" customHeight="1" x14ac:dyDescent="0.25">
      <c r="A139" s="12" t="s">
        <v>141</v>
      </c>
      <c r="B139" s="5">
        <v>45902</v>
      </c>
      <c r="C139" s="5">
        <v>2206</v>
      </c>
      <c r="D139" s="5">
        <v>25794</v>
      </c>
      <c r="E139" s="5">
        <v>17902</v>
      </c>
      <c r="F139" s="5">
        <v>19224023</v>
      </c>
      <c r="G139" s="7" t="s">
        <v>196</v>
      </c>
      <c r="H139" s="14">
        <v>43887</v>
      </c>
      <c r="I139" s="22">
        <f>Table1[[#This Row],[Deaths]]/Table1[[#This Row],[Confirmed]]</f>
        <v>4.805890810857915E-2</v>
      </c>
      <c r="J139" s="23">
        <f>Table1[[#This Row],[Recovered]]/Table1[[#This Row],[Confirmed]]</f>
        <v>0.56193629907193587</v>
      </c>
      <c r="K139" s="22">
        <f>Table1[[#This Row],[Confirmed]]/Table1[[#This Row],[Population]]</f>
        <v>2.3877416293145303E-3</v>
      </c>
      <c r="L139" s="24" t="str">
        <f>IF(Table1[[#This Row],[Death_Rate]]&gt; 5%,"High_Risk",IF(Table1[[#This Row],[Death_Rate]] &gt;= 2%,"Moderate_Risk","Low_Risk"))</f>
        <v>Moderate_Risk</v>
      </c>
    </row>
    <row r="140" spans="1:12" ht="18" customHeight="1" x14ac:dyDescent="0.25">
      <c r="A140" s="11" t="s">
        <v>142</v>
      </c>
      <c r="B140" s="4">
        <v>816680</v>
      </c>
      <c r="C140" s="4">
        <v>13334</v>
      </c>
      <c r="D140" s="4">
        <v>602249</v>
      </c>
      <c r="E140" s="4">
        <v>201097</v>
      </c>
      <c r="F140" s="4">
        <v>145940924</v>
      </c>
      <c r="G140" s="6" t="s">
        <v>196</v>
      </c>
      <c r="H140" s="13">
        <v>43861</v>
      </c>
      <c r="I140" s="22">
        <f>Table1[[#This Row],[Deaths]]/Table1[[#This Row],[Confirmed]]</f>
        <v>1.6327080374197972E-2</v>
      </c>
      <c r="J140" s="23">
        <f>Table1[[#This Row],[Recovered]]/Table1[[#This Row],[Confirmed]]</f>
        <v>0.73743571533525987</v>
      </c>
      <c r="K140" s="22">
        <f>Table1[[#This Row],[Confirmed]]/Table1[[#This Row],[Population]]</f>
        <v>5.5959629253820543E-3</v>
      </c>
      <c r="L140" s="24" t="str">
        <f>IF(Table1[[#This Row],[Death_Rate]]&gt; 5%,"High_Risk",IF(Table1[[#This Row],[Death_Rate]] &gt;= 2%,"Moderate_Risk","Low_Risk"))</f>
        <v>Low_Risk</v>
      </c>
    </row>
    <row r="141" spans="1:12" ht="18" customHeight="1" x14ac:dyDescent="0.25">
      <c r="A141" s="12" t="s">
        <v>143</v>
      </c>
      <c r="B141" s="5">
        <v>1879</v>
      </c>
      <c r="C141" s="5">
        <v>5</v>
      </c>
      <c r="D141" s="5">
        <v>975</v>
      </c>
      <c r="E141" s="5">
        <v>899</v>
      </c>
      <c r="F141" s="5">
        <v>12981546</v>
      </c>
      <c r="G141" s="7" t="s">
        <v>197</v>
      </c>
      <c r="H141" s="14">
        <v>43904</v>
      </c>
      <c r="I141" s="22">
        <f>Table1[[#This Row],[Deaths]]/Table1[[#This Row],[Confirmed]]</f>
        <v>2.6609898882384245E-3</v>
      </c>
      <c r="J141" s="23">
        <f>Table1[[#This Row],[Recovered]]/Table1[[#This Row],[Confirmed]]</f>
        <v>0.51889302820649286</v>
      </c>
      <c r="K141" s="22">
        <f>Table1[[#This Row],[Confirmed]]/Table1[[#This Row],[Population]]</f>
        <v>1.4474393111575461E-4</v>
      </c>
      <c r="L141" s="24" t="str">
        <f>IF(Table1[[#This Row],[Death_Rate]]&gt; 5%,"High_Risk",IF(Table1[[#This Row],[Death_Rate]] &gt;= 2%,"Moderate_Risk","Low_Risk"))</f>
        <v>Low_Risk</v>
      </c>
    </row>
    <row r="142" spans="1:12" ht="18" customHeight="1" x14ac:dyDescent="0.25">
      <c r="A142" s="11" t="s">
        <v>144</v>
      </c>
      <c r="B142" s="4">
        <v>17</v>
      </c>
      <c r="C142" s="4">
        <v>0</v>
      </c>
      <c r="D142" s="4">
        <v>15</v>
      </c>
      <c r="E142" s="4">
        <v>2</v>
      </c>
      <c r="F142" s="4">
        <v>53237</v>
      </c>
      <c r="G142" s="6" t="s">
        <v>198</v>
      </c>
      <c r="H142" s="13">
        <v>43914</v>
      </c>
      <c r="I142" s="22">
        <f>Table1[[#This Row],[Deaths]]/Table1[[#This Row],[Confirmed]]</f>
        <v>0</v>
      </c>
      <c r="J142" s="23">
        <f>Table1[[#This Row],[Recovered]]/Table1[[#This Row],[Confirmed]]</f>
        <v>0.88235294117647056</v>
      </c>
      <c r="K142" s="22">
        <f>Table1[[#This Row],[Confirmed]]/Table1[[#This Row],[Population]]</f>
        <v>3.1932678400360654E-4</v>
      </c>
      <c r="L142" s="24" t="str">
        <f>IF(Table1[[#This Row],[Death_Rate]]&gt; 5%,"High_Risk",IF(Table1[[#This Row],[Death_Rate]] &gt;= 2%,"Moderate_Risk","Low_Risk"))</f>
        <v>Low_Risk</v>
      </c>
    </row>
    <row r="143" spans="1:12" ht="18" customHeight="1" x14ac:dyDescent="0.25">
      <c r="A143" s="12" t="s">
        <v>145</v>
      </c>
      <c r="B143" s="5">
        <v>24</v>
      </c>
      <c r="C143" s="5">
        <v>0</v>
      </c>
      <c r="D143" s="5">
        <v>22</v>
      </c>
      <c r="E143" s="5">
        <v>2</v>
      </c>
      <c r="F143" s="5">
        <v>183712</v>
      </c>
      <c r="G143" s="7" t="s">
        <v>198</v>
      </c>
      <c r="H143" s="14">
        <v>43903</v>
      </c>
      <c r="I143" s="22">
        <f>Table1[[#This Row],[Deaths]]/Table1[[#This Row],[Confirmed]]</f>
        <v>0</v>
      </c>
      <c r="J143" s="23">
        <f>Table1[[#This Row],[Recovered]]/Table1[[#This Row],[Confirmed]]</f>
        <v>0.91666666666666663</v>
      </c>
      <c r="K143" s="22">
        <f>Table1[[#This Row],[Confirmed]]/Table1[[#This Row],[Population]]</f>
        <v>1.306392614527086E-4</v>
      </c>
      <c r="L143" s="24" t="str">
        <f>IF(Table1[[#This Row],[Death_Rate]]&gt; 5%,"High_Risk",IF(Table1[[#This Row],[Death_Rate]] &gt;= 2%,"Moderate_Risk","Low_Risk"))</f>
        <v>Low_Risk</v>
      </c>
    </row>
    <row r="144" spans="1:12" ht="18" customHeight="1" x14ac:dyDescent="0.25">
      <c r="A144" s="11" t="s">
        <v>146</v>
      </c>
      <c r="B144" s="4">
        <v>52</v>
      </c>
      <c r="C144" s="4">
        <v>0</v>
      </c>
      <c r="D144" s="4">
        <v>39</v>
      </c>
      <c r="E144" s="4">
        <v>13</v>
      </c>
      <c r="F144" s="4">
        <v>104000</v>
      </c>
      <c r="G144" s="6" t="s">
        <v>198</v>
      </c>
      <c r="H144" s="13">
        <v>43901</v>
      </c>
      <c r="I144" s="22">
        <f>Table1[[#This Row],[Deaths]]/Table1[[#This Row],[Confirmed]]</f>
        <v>0</v>
      </c>
      <c r="J144" s="23">
        <f>Table1[[#This Row],[Recovered]]/Table1[[#This Row],[Confirmed]]</f>
        <v>0.75</v>
      </c>
      <c r="K144" s="22">
        <f>Table1[[#This Row],[Confirmed]]/Table1[[#This Row],[Population]]</f>
        <v>5.0000000000000001E-4</v>
      </c>
      <c r="L144" s="24" t="str">
        <f>IF(Table1[[#This Row],[Death_Rate]]&gt; 5%,"High_Risk",IF(Table1[[#This Row],[Death_Rate]] &gt;= 2%,"Moderate_Risk","Low_Risk"))</f>
        <v>Low_Risk</v>
      </c>
    </row>
    <row r="145" spans="1:12" ht="18" customHeight="1" x14ac:dyDescent="0.25">
      <c r="A145" s="12" t="s">
        <v>147</v>
      </c>
      <c r="B145" s="5">
        <v>699</v>
      </c>
      <c r="C145" s="5">
        <v>42</v>
      </c>
      <c r="D145" s="5">
        <v>657</v>
      </c>
      <c r="E145" s="5">
        <v>0</v>
      </c>
      <c r="F145" s="5">
        <v>33938</v>
      </c>
      <c r="G145" s="7" t="s">
        <v>196</v>
      </c>
      <c r="H145" s="14">
        <v>43888</v>
      </c>
      <c r="I145" s="22">
        <f>Table1[[#This Row],[Deaths]]/Table1[[#This Row],[Confirmed]]</f>
        <v>6.0085836909871244E-2</v>
      </c>
      <c r="J145" s="23">
        <f>Table1[[#This Row],[Recovered]]/Table1[[#This Row],[Confirmed]]</f>
        <v>0.93991416309012876</v>
      </c>
      <c r="K145" s="22">
        <f>Table1[[#This Row],[Confirmed]]/Table1[[#This Row],[Population]]</f>
        <v>2.0596381637102954E-2</v>
      </c>
      <c r="L145" s="24" t="str">
        <f>IF(Table1[[#This Row],[Death_Rate]]&gt; 5%,"High_Risk",IF(Table1[[#This Row],[Death_Rate]] &gt;= 2%,"Moderate_Risk","Low_Risk"))</f>
        <v>High_Risk</v>
      </c>
    </row>
    <row r="146" spans="1:12" ht="18" customHeight="1" x14ac:dyDescent="0.25">
      <c r="A146" s="11" t="s">
        <v>148</v>
      </c>
      <c r="B146" s="4">
        <v>865</v>
      </c>
      <c r="C146" s="4">
        <v>14</v>
      </c>
      <c r="D146" s="4">
        <v>734</v>
      </c>
      <c r="E146" s="4">
        <v>117</v>
      </c>
      <c r="F146" s="4">
        <v>219544</v>
      </c>
      <c r="G146" s="6" t="s">
        <v>197</v>
      </c>
      <c r="H146" s="13">
        <v>43927</v>
      </c>
      <c r="I146" s="22">
        <f>Table1[[#This Row],[Deaths]]/Table1[[#This Row],[Confirmed]]</f>
        <v>1.6184971098265895E-2</v>
      </c>
      <c r="J146" s="23">
        <f>Table1[[#This Row],[Recovered]]/Table1[[#This Row],[Confirmed]]</f>
        <v>0.84855491329479771</v>
      </c>
      <c r="K146" s="22">
        <f>Table1[[#This Row],[Confirmed]]/Table1[[#This Row],[Population]]</f>
        <v>3.9399846955507781E-3</v>
      </c>
      <c r="L146" s="24" t="str">
        <f>IF(Table1[[#This Row],[Death_Rate]]&gt; 5%,"High_Risk",IF(Table1[[#This Row],[Death_Rate]] &gt;= 2%,"Moderate_Risk","Low_Risk"))</f>
        <v>Low_Risk</v>
      </c>
    </row>
    <row r="147" spans="1:12" ht="18" customHeight="1" x14ac:dyDescent="0.25">
      <c r="A147" s="12" t="s">
        <v>149</v>
      </c>
      <c r="B147" s="5">
        <v>268934</v>
      </c>
      <c r="C147" s="5">
        <v>2760</v>
      </c>
      <c r="D147" s="5">
        <v>222936</v>
      </c>
      <c r="E147" s="5">
        <v>43238</v>
      </c>
      <c r="F147" s="5">
        <v>34865919</v>
      </c>
      <c r="G147" s="7" t="s">
        <v>195</v>
      </c>
      <c r="H147" s="14">
        <v>43892</v>
      </c>
      <c r="I147" s="22">
        <f>Table1[[#This Row],[Deaths]]/Table1[[#This Row],[Confirmed]]</f>
        <v>1.0262741044271086E-2</v>
      </c>
      <c r="J147" s="23">
        <f>Table1[[#This Row],[Recovered]]/Table1[[#This Row],[Confirmed]]</f>
        <v>0.8289617526976879</v>
      </c>
      <c r="K147" s="22">
        <f>Table1[[#This Row],[Confirmed]]/Table1[[#This Row],[Population]]</f>
        <v>7.7133776396371484E-3</v>
      </c>
      <c r="L147" s="24" t="str">
        <f>IF(Table1[[#This Row],[Death_Rate]]&gt; 5%,"High_Risk",IF(Table1[[#This Row],[Death_Rate]] &gt;= 2%,"Moderate_Risk","Low_Risk"))</f>
        <v>Low_Risk</v>
      </c>
    </row>
    <row r="148" spans="1:12" ht="18" customHeight="1" x14ac:dyDescent="0.25">
      <c r="A148" s="11" t="s">
        <v>150</v>
      </c>
      <c r="B148" s="4">
        <v>9764</v>
      </c>
      <c r="C148" s="4">
        <v>194</v>
      </c>
      <c r="D148" s="4">
        <v>6477</v>
      </c>
      <c r="E148" s="4">
        <v>3093</v>
      </c>
      <c r="F148" s="4">
        <v>16783877</v>
      </c>
      <c r="G148" s="6" t="s">
        <v>197</v>
      </c>
      <c r="H148" s="13">
        <v>43892</v>
      </c>
      <c r="I148" s="22">
        <f>Table1[[#This Row],[Deaths]]/Table1[[#This Row],[Confirmed]]</f>
        <v>1.9868906185989348E-2</v>
      </c>
      <c r="J148" s="23">
        <f>Table1[[#This Row],[Recovered]]/Table1[[#This Row],[Confirmed]]</f>
        <v>0.66335518230233514</v>
      </c>
      <c r="K148" s="22">
        <f>Table1[[#This Row],[Confirmed]]/Table1[[#This Row],[Population]]</f>
        <v>5.8174878188156404E-4</v>
      </c>
      <c r="L148" s="24" t="str">
        <f>IF(Table1[[#This Row],[Death_Rate]]&gt; 5%,"High_Risk",IF(Table1[[#This Row],[Death_Rate]] &gt;= 2%,"Moderate_Risk","Low_Risk"))</f>
        <v>Low_Risk</v>
      </c>
    </row>
    <row r="149" spans="1:12" ht="18" customHeight="1" x14ac:dyDescent="0.25">
      <c r="A149" s="12" t="s">
        <v>151</v>
      </c>
      <c r="B149" s="5">
        <v>24141</v>
      </c>
      <c r="C149" s="5">
        <v>543</v>
      </c>
      <c r="D149" s="5">
        <v>0</v>
      </c>
      <c r="E149" s="5">
        <v>23598</v>
      </c>
      <c r="F149" s="5">
        <v>8733665</v>
      </c>
      <c r="G149" s="7" t="s">
        <v>196</v>
      </c>
      <c r="H149" s="14">
        <v>43896</v>
      </c>
      <c r="I149" s="22">
        <f>Table1[[#This Row],[Deaths]]/Table1[[#This Row],[Confirmed]]</f>
        <v>2.2492854479930408E-2</v>
      </c>
      <c r="J149" s="23">
        <f>Table1[[#This Row],[Recovered]]/Table1[[#This Row],[Confirmed]]</f>
        <v>0</v>
      </c>
      <c r="K149" s="22">
        <f>Table1[[#This Row],[Confirmed]]/Table1[[#This Row],[Population]]</f>
        <v>2.7641316675187334E-3</v>
      </c>
      <c r="L149" s="24" t="str">
        <f>IF(Table1[[#This Row],[Death_Rate]]&gt; 5%,"High_Risk",IF(Table1[[#This Row],[Death_Rate]] &gt;= 2%,"Moderate_Risk","Low_Risk"))</f>
        <v>Moderate_Risk</v>
      </c>
    </row>
    <row r="150" spans="1:12" ht="18" customHeight="1" x14ac:dyDescent="0.25">
      <c r="A150" s="11" t="s">
        <v>152</v>
      </c>
      <c r="B150" s="4">
        <v>114</v>
      </c>
      <c r="C150" s="4">
        <v>0</v>
      </c>
      <c r="D150" s="4">
        <v>39</v>
      </c>
      <c r="E150" s="4">
        <v>75</v>
      </c>
      <c r="F150" s="4">
        <v>98408</v>
      </c>
      <c r="G150" s="6" t="s">
        <v>197</v>
      </c>
      <c r="H150" s="13">
        <v>43904</v>
      </c>
      <c r="I150" s="22">
        <f>Table1[[#This Row],[Deaths]]/Table1[[#This Row],[Confirmed]]</f>
        <v>0</v>
      </c>
      <c r="J150" s="23">
        <f>Table1[[#This Row],[Recovered]]/Table1[[#This Row],[Confirmed]]</f>
        <v>0.34210526315789475</v>
      </c>
      <c r="K150" s="22">
        <f>Table1[[#This Row],[Confirmed]]/Table1[[#This Row],[Population]]</f>
        <v>1.158442403056662E-3</v>
      </c>
      <c r="L150" s="24" t="str">
        <f>IF(Table1[[#This Row],[Death_Rate]]&gt; 5%,"High_Risk",IF(Table1[[#This Row],[Death_Rate]] &gt;= 2%,"Moderate_Risk","Low_Risk"))</f>
        <v>Low_Risk</v>
      </c>
    </row>
    <row r="151" spans="1:12" ht="18" customHeight="1" x14ac:dyDescent="0.25">
      <c r="A151" s="12" t="s">
        <v>153</v>
      </c>
      <c r="B151" s="5">
        <v>1783</v>
      </c>
      <c r="C151" s="5">
        <v>66</v>
      </c>
      <c r="D151" s="5">
        <v>1317</v>
      </c>
      <c r="E151" s="5">
        <v>400</v>
      </c>
      <c r="F151" s="5">
        <v>7992169</v>
      </c>
      <c r="G151" s="7" t="s">
        <v>197</v>
      </c>
      <c r="H151" s="14">
        <v>43921</v>
      </c>
      <c r="I151" s="22">
        <f>Table1[[#This Row],[Deaths]]/Table1[[#This Row],[Confirmed]]</f>
        <v>3.7016264722378012E-2</v>
      </c>
      <c r="J151" s="23">
        <f>Table1[[#This Row],[Recovered]]/Table1[[#This Row],[Confirmed]]</f>
        <v>0.73864273696017946</v>
      </c>
      <c r="K151" s="22">
        <f>Table1[[#This Row],[Confirmed]]/Table1[[#This Row],[Population]]</f>
        <v>2.230933805328691E-4</v>
      </c>
      <c r="L151" s="24" t="str">
        <f>IF(Table1[[#This Row],[Death_Rate]]&gt; 5%,"High_Risk",IF(Table1[[#This Row],[Death_Rate]] &gt;= 2%,"Moderate_Risk","Low_Risk"))</f>
        <v>Moderate_Risk</v>
      </c>
    </row>
    <row r="152" spans="1:12" ht="18" customHeight="1" x14ac:dyDescent="0.25">
      <c r="A152" s="11" t="s">
        <v>154</v>
      </c>
      <c r="B152" s="4">
        <v>50838</v>
      </c>
      <c r="C152" s="4">
        <v>27</v>
      </c>
      <c r="D152" s="4">
        <v>45692</v>
      </c>
      <c r="E152" s="4">
        <v>5119</v>
      </c>
      <c r="F152" s="4">
        <v>5854932</v>
      </c>
      <c r="G152" s="6" t="s">
        <v>195</v>
      </c>
      <c r="H152" s="13">
        <v>43853</v>
      </c>
      <c r="I152" s="22">
        <f>Table1[[#This Row],[Deaths]]/Table1[[#This Row],[Confirmed]]</f>
        <v>5.3109878437389356E-4</v>
      </c>
      <c r="J152" s="23">
        <f>Table1[[#This Row],[Recovered]]/Table1[[#This Row],[Confirmed]]</f>
        <v>0.89877650576340529</v>
      </c>
      <c r="K152" s="22">
        <f>Table1[[#This Row],[Confirmed]]/Table1[[#This Row],[Population]]</f>
        <v>8.6829360272672688E-3</v>
      </c>
      <c r="L152" s="24" t="str">
        <f>IF(Table1[[#This Row],[Death_Rate]]&gt; 5%,"High_Risk",IF(Table1[[#This Row],[Death_Rate]] &gt;= 2%,"Moderate_Risk","Low_Risk"))</f>
        <v>Low_Risk</v>
      </c>
    </row>
    <row r="153" spans="1:12" ht="18" customHeight="1" x14ac:dyDescent="0.25">
      <c r="A153" s="12" t="s">
        <v>155</v>
      </c>
      <c r="B153" s="5">
        <v>2181</v>
      </c>
      <c r="C153" s="5">
        <v>28</v>
      </c>
      <c r="D153" s="5">
        <v>1616</v>
      </c>
      <c r="E153" s="5">
        <v>537</v>
      </c>
      <c r="F153" s="5">
        <v>5459915</v>
      </c>
      <c r="G153" s="7" t="s">
        <v>196</v>
      </c>
      <c r="H153" s="14">
        <v>43896</v>
      </c>
      <c r="I153" s="22">
        <f>Table1[[#This Row],[Deaths]]/Table1[[#This Row],[Confirmed]]</f>
        <v>1.2838147638697846E-2</v>
      </c>
      <c r="J153" s="23">
        <f>Table1[[#This Row],[Recovered]]/Table1[[#This Row],[Confirmed]]</f>
        <v>0.74094452086198992</v>
      </c>
      <c r="K153" s="22">
        <f>Table1[[#This Row],[Confirmed]]/Table1[[#This Row],[Population]]</f>
        <v>3.994567680998697E-4</v>
      </c>
      <c r="L153" s="24" t="str">
        <f>IF(Table1[[#This Row],[Death_Rate]]&gt; 5%,"High_Risk",IF(Table1[[#This Row],[Death_Rate]] &gt;= 2%,"Moderate_Risk","Low_Risk"))</f>
        <v>Low_Risk</v>
      </c>
    </row>
    <row r="154" spans="1:12" ht="18" customHeight="1" x14ac:dyDescent="0.25">
      <c r="A154" s="11" t="s">
        <v>156</v>
      </c>
      <c r="B154" s="4">
        <v>2087</v>
      </c>
      <c r="C154" s="4">
        <v>116</v>
      </c>
      <c r="D154" s="4">
        <v>1733</v>
      </c>
      <c r="E154" s="4">
        <v>238</v>
      </c>
      <c r="F154" s="4">
        <v>2078968</v>
      </c>
      <c r="G154" s="6" t="s">
        <v>196</v>
      </c>
      <c r="H154" s="13">
        <v>43894</v>
      </c>
      <c r="I154" s="22">
        <f>Table1[[#This Row],[Deaths]]/Table1[[#This Row],[Confirmed]]</f>
        <v>5.558217537134643E-2</v>
      </c>
      <c r="J154" s="23">
        <f>Table1[[#This Row],[Recovered]]/Table1[[#This Row],[Confirmed]]</f>
        <v>0.83037853378054627</v>
      </c>
      <c r="K154" s="22">
        <f>Table1[[#This Row],[Confirmed]]/Table1[[#This Row],[Population]]</f>
        <v>1.0038634553297598E-3</v>
      </c>
      <c r="L154" s="24" t="str">
        <f>IF(Table1[[#This Row],[Death_Rate]]&gt; 5%,"High_Risk",IF(Table1[[#This Row],[Death_Rate]] &gt;= 2%,"Moderate_Risk","Low_Risk"))</f>
        <v>High_Risk</v>
      </c>
    </row>
    <row r="155" spans="1:12" ht="18" customHeight="1" x14ac:dyDescent="0.25">
      <c r="A155" s="12" t="s">
        <v>157</v>
      </c>
      <c r="B155" s="5">
        <v>3196</v>
      </c>
      <c r="C155" s="5">
        <v>93</v>
      </c>
      <c r="D155" s="5">
        <v>1543</v>
      </c>
      <c r="E155" s="5">
        <v>1560</v>
      </c>
      <c r="F155" s="5">
        <v>15933012</v>
      </c>
      <c r="G155" s="7" t="s">
        <v>197</v>
      </c>
      <c r="H155" s="14">
        <v>43906</v>
      </c>
      <c r="I155" s="22">
        <f>Table1[[#This Row],[Deaths]]/Table1[[#This Row],[Confirmed]]</f>
        <v>2.9098873591989989E-2</v>
      </c>
      <c r="J155" s="23">
        <f>Table1[[#This Row],[Recovered]]/Table1[[#This Row],[Confirmed]]</f>
        <v>0.48279098873591991</v>
      </c>
      <c r="K155" s="22">
        <f>Table1[[#This Row],[Confirmed]]/Table1[[#This Row],[Population]]</f>
        <v>2.0058981942648382E-4</v>
      </c>
      <c r="L155" s="24" t="str">
        <f>IF(Table1[[#This Row],[Death_Rate]]&gt; 5%,"High_Risk",IF(Table1[[#This Row],[Death_Rate]] &gt;= 2%,"Moderate_Risk","Low_Risk"))</f>
        <v>Moderate_Risk</v>
      </c>
    </row>
    <row r="156" spans="1:12" ht="18" customHeight="1" x14ac:dyDescent="0.25">
      <c r="A156" s="11" t="s">
        <v>158</v>
      </c>
      <c r="B156" s="4">
        <v>452529</v>
      </c>
      <c r="C156" s="4">
        <v>7067</v>
      </c>
      <c r="D156" s="4">
        <v>274925</v>
      </c>
      <c r="E156" s="4">
        <v>170537</v>
      </c>
      <c r="F156" s="4">
        <v>59381566</v>
      </c>
      <c r="G156" s="6" t="s">
        <v>197</v>
      </c>
      <c r="H156" s="13">
        <v>43895</v>
      </c>
      <c r="I156" s="22">
        <f>Table1[[#This Row],[Deaths]]/Table1[[#This Row],[Confirmed]]</f>
        <v>1.5616678710093718E-2</v>
      </c>
      <c r="J156" s="23">
        <f>Table1[[#This Row],[Recovered]]/Table1[[#This Row],[Confirmed]]</f>
        <v>0.60753012514115112</v>
      </c>
      <c r="K156" s="22">
        <f>Table1[[#This Row],[Confirmed]]/Table1[[#This Row],[Population]]</f>
        <v>7.6206983157028904E-3</v>
      </c>
      <c r="L156" s="24" t="str">
        <f>IF(Table1[[#This Row],[Death_Rate]]&gt; 5%,"High_Risk",IF(Table1[[#This Row],[Death_Rate]] &gt;= 2%,"Moderate_Risk","Low_Risk"))</f>
        <v>Low_Risk</v>
      </c>
    </row>
    <row r="157" spans="1:12" ht="18" customHeight="1" x14ac:dyDescent="0.25">
      <c r="A157" s="12" t="s">
        <v>159</v>
      </c>
      <c r="B157" s="5">
        <v>14203</v>
      </c>
      <c r="C157" s="5">
        <v>300</v>
      </c>
      <c r="D157" s="5">
        <v>13007</v>
      </c>
      <c r="E157" s="5">
        <v>896</v>
      </c>
      <c r="F157" s="5">
        <v>51273732</v>
      </c>
      <c r="G157" s="7" t="s">
        <v>195</v>
      </c>
      <c r="H157" s="14">
        <v>43850</v>
      </c>
      <c r="I157" s="22">
        <f>Table1[[#This Row],[Deaths]]/Table1[[#This Row],[Confirmed]]</f>
        <v>2.1122298106033936E-2</v>
      </c>
      <c r="J157" s="23">
        <f>Table1[[#This Row],[Recovered]]/Table1[[#This Row],[Confirmed]]</f>
        <v>0.91579243821727807</v>
      </c>
      <c r="K157" s="22">
        <f>Table1[[#This Row],[Confirmed]]/Table1[[#This Row],[Population]]</f>
        <v>2.7700343715959667E-4</v>
      </c>
      <c r="L157" s="24" t="str">
        <f>IF(Table1[[#This Row],[Death_Rate]]&gt; 5%,"High_Risk",IF(Table1[[#This Row],[Death_Rate]] &gt;= 2%,"Moderate_Risk","Low_Risk"))</f>
        <v>Moderate_Risk</v>
      </c>
    </row>
    <row r="158" spans="1:12" ht="18" customHeight="1" x14ac:dyDescent="0.25">
      <c r="A158" s="11" t="s">
        <v>160</v>
      </c>
      <c r="B158" s="4">
        <v>2305</v>
      </c>
      <c r="C158" s="4">
        <v>46</v>
      </c>
      <c r="D158" s="4">
        <v>1175</v>
      </c>
      <c r="E158" s="4">
        <v>1084</v>
      </c>
      <c r="F158" s="4">
        <v>11206572</v>
      </c>
      <c r="G158" s="6" t="s">
        <v>197</v>
      </c>
      <c r="H158" s="13">
        <v>43926</v>
      </c>
      <c r="I158" s="22">
        <f>Table1[[#This Row],[Deaths]]/Table1[[#This Row],[Confirmed]]</f>
        <v>1.9956616052060738E-2</v>
      </c>
      <c r="J158" s="23">
        <f>Table1[[#This Row],[Recovered]]/Table1[[#This Row],[Confirmed]]</f>
        <v>0.50976138828633411</v>
      </c>
      <c r="K158" s="22">
        <f>Table1[[#This Row],[Confirmed]]/Table1[[#This Row],[Population]]</f>
        <v>2.0568287965311784E-4</v>
      </c>
      <c r="L158" s="24" t="str">
        <f>IF(Table1[[#This Row],[Death_Rate]]&gt; 5%,"High_Risk",IF(Table1[[#This Row],[Death_Rate]] &gt;= 2%,"Moderate_Risk","Low_Risk"))</f>
        <v>Low_Risk</v>
      </c>
    </row>
    <row r="159" spans="1:12" ht="18" customHeight="1" x14ac:dyDescent="0.25">
      <c r="A159" s="12" t="s">
        <v>161</v>
      </c>
      <c r="B159" s="5">
        <v>272421</v>
      </c>
      <c r="C159" s="5">
        <v>28432</v>
      </c>
      <c r="D159" s="5">
        <v>150376</v>
      </c>
      <c r="E159" s="5">
        <v>93613</v>
      </c>
      <c r="F159" s="5">
        <v>46756648</v>
      </c>
      <c r="G159" s="7" t="s">
        <v>196</v>
      </c>
      <c r="H159" s="14">
        <v>43861</v>
      </c>
      <c r="I159" s="22">
        <f>Table1[[#This Row],[Deaths]]/Table1[[#This Row],[Confirmed]]</f>
        <v>0.10436787178668311</v>
      </c>
      <c r="J159" s="23">
        <f>Table1[[#This Row],[Recovered]]/Table1[[#This Row],[Confirmed]]</f>
        <v>0.55199856105072664</v>
      </c>
      <c r="K159" s="22">
        <f>Table1[[#This Row],[Confirmed]]/Table1[[#This Row],[Population]]</f>
        <v>5.8263586388827534E-3</v>
      </c>
      <c r="L159" s="24" t="str">
        <f>IF(Table1[[#This Row],[Death_Rate]]&gt; 5%,"High_Risk",IF(Table1[[#This Row],[Death_Rate]] &gt;= 2%,"Moderate_Risk","Low_Risk"))</f>
        <v>High_Risk</v>
      </c>
    </row>
    <row r="160" spans="1:12" ht="18" customHeight="1" x14ac:dyDescent="0.25">
      <c r="A160" s="11" t="s">
        <v>162</v>
      </c>
      <c r="B160" s="4">
        <v>2805</v>
      </c>
      <c r="C160" s="4">
        <v>11</v>
      </c>
      <c r="D160" s="4">
        <v>2121</v>
      </c>
      <c r="E160" s="4">
        <v>673</v>
      </c>
      <c r="F160" s="4">
        <v>21422362</v>
      </c>
      <c r="G160" s="6" t="s">
        <v>195</v>
      </c>
      <c r="H160" s="13">
        <v>43857</v>
      </c>
      <c r="I160" s="22">
        <f>Table1[[#This Row],[Deaths]]/Table1[[#This Row],[Confirmed]]</f>
        <v>3.9215686274509803E-3</v>
      </c>
      <c r="J160" s="23">
        <f>Table1[[#This Row],[Recovered]]/Table1[[#This Row],[Confirmed]]</f>
        <v>0.75614973262032081</v>
      </c>
      <c r="K160" s="22">
        <f>Table1[[#This Row],[Confirmed]]/Table1[[#This Row],[Population]]</f>
        <v>1.3093794232400704E-4</v>
      </c>
      <c r="L160" s="24" t="str">
        <f>IF(Table1[[#This Row],[Death_Rate]]&gt; 5%,"High_Risk",IF(Table1[[#This Row],[Death_Rate]] &gt;= 2%,"Moderate_Risk","Low_Risk"))</f>
        <v>Low_Risk</v>
      </c>
    </row>
    <row r="161" spans="1:12" ht="18" customHeight="1" x14ac:dyDescent="0.25">
      <c r="A161" s="12" t="s">
        <v>163</v>
      </c>
      <c r="B161" s="5">
        <v>11424</v>
      </c>
      <c r="C161" s="5">
        <v>720</v>
      </c>
      <c r="D161" s="5">
        <v>5939</v>
      </c>
      <c r="E161" s="5">
        <v>4765</v>
      </c>
      <c r="F161" s="5">
        <v>43943536</v>
      </c>
      <c r="G161" s="7" t="s">
        <v>197</v>
      </c>
      <c r="H161" s="14">
        <v>43903</v>
      </c>
      <c r="I161" s="22">
        <f>Table1[[#This Row],[Deaths]]/Table1[[#This Row],[Confirmed]]</f>
        <v>6.3025210084033612E-2</v>
      </c>
      <c r="J161" s="23">
        <f>Table1[[#This Row],[Recovered]]/Table1[[#This Row],[Confirmed]]</f>
        <v>0.51987044817927175</v>
      </c>
      <c r="K161" s="22">
        <f>Table1[[#This Row],[Confirmed]]/Table1[[#This Row],[Population]]</f>
        <v>2.5996997601649536E-4</v>
      </c>
      <c r="L161" s="24" t="str">
        <f>IF(Table1[[#This Row],[Death_Rate]]&gt; 5%,"High_Risk",IF(Table1[[#This Row],[Death_Rate]] &gt;= 2%,"Moderate_Risk","Low_Risk"))</f>
        <v>High_Risk</v>
      </c>
    </row>
    <row r="162" spans="1:12" ht="18" customHeight="1" x14ac:dyDescent="0.25">
      <c r="A162" s="11" t="s">
        <v>164</v>
      </c>
      <c r="B162" s="4">
        <v>1483</v>
      </c>
      <c r="C162" s="4">
        <v>24</v>
      </c>
      <c r="D162" s="4">
        <v>925</v>
      </c>
      <c r="E162" s="4">
        <v>534</v>
      </c>
      <c r="F162" s="4">
        <v>587154</v>
      </c>
      <c r="G162" s="6" t="s">
        <v>199</v>
      </c>
      <c r="H162" s="13">
        <v>43903</v>
      </c>
      <c r="I162" s="22">
        <f>Table1[[#This Row],[Deaths]]/Table1[[#This Row],[Confirmed]]</f>
        <v>1.6183412002697236E-2</v>
      </c>
      <c r="J162" s="23">
        <f>Table1[[#This Row],[Recovered]]/Table1[[#This Row],[Confirmed]]</f>
        <v>0.62373567093728932</v>
      </c>
      <c r="K162" s="22">
        <f>Table1[[#This Row],[Confirmed]]/Table1[[#This Row],[Population]]</f>
        <v>2.5257428204525558E-3</v>
      </c>
      <c r="L162" s="24" t="str">
        <f>IF(Table1[[#This Row],[Death_Rate]]&gt; 5%,"High_Risk",IF(Table1[[#This Row],[Death_Rate]] &gt;= 2%,"Moderate_Risk","Low_Risk"))</f>
        <v>Low_Risk</v>
      </c>
    </row>
    <row r="163" spans="1:12" ht="18" customHeight="1" x14ac:dyDescent="0.25">
      <c r="A163" s="12" t="s">
        <v>165</v>
      </c>
      <c r="B163" s="5">
        <v>79395</v>
      </c>
      <c r="C163" s="5">
        <v>5700</v>
      </c>
      <c r="D163" s="5">
        <v>0</v>
      </c>
      <c r="E163" s="5">
        <v>73695</v>
      </c>
      <c r="F163" s="5">
        <v>10105596</v>
      </c>
      <c r="G163" s="7" t="s">
        <v>196</v>
      </c>
      <c r="H163" s="14">
        <v>43861</v>
      </c>
      <c r="I163" s="22">
        <f>Table1[[#This Row],[Deaths]]/Table1[[#This Row],[Confirmed]]</f>
        <v>7.1792934063857922E-2</v>
      </c>
      <c r="J163" s="23">
        <f>Table1[[#This Row],[Recovered]]/Table1[[#This Row],[Confirmed]]</f>
        <v>0</v>
      </c>
      <c r="K163" s="22">
        <f>Table1[[#This Row],[Confirmed]]/Table1[[#This Row],[Population]]</f>
        <v>7.8565381002763217E-3</v>
      </c>
      <c r="L163" s="24" t="str">
        <f>IF(Table1[[#This Row],[Death_Rate]]&gt; 5%,"High_Risk",IF(Table1[[#This Row],[Death_Rate]] &gt;= 2%,"Moderate_Risk","Low_Risk"))</f>
        <v>High_Risk</v>
      </c>
    </row>
    <row r="164" spans="1:12" ht="18" customHeight="1" x14ac:dyDescent="0.25">
      <c r="A164" s="11" t="s">
        <v>166</v>
      </c>
      <c r="B164" s="4">
        <v>34477</v>
      </c>
      <c r="C164" s="4">
        <v>1978</v>
      </c>
      <c r="D164" s="4">
        <v>30900</v>
      </c>
      <c r="E164" s="4">
        <v>1599</v>
      </c>
      <c r="F164" s="4">
        <v>8660952</v>
      </c>
      <c r="G164" s="6" t="s">
        <v>196</v>
      </c>
      <c r="H164" s="13">
        <v>43886</v>
      </c>
      <c r="I164" s="22">
        <f>Table1[[#This Row],[Deaths]]/Table1[[#This Row],[Confirmed]]</f>
        <v>5.7371581054036024E-2</v>
      </c>
      <c r="J164" s="23">
        <f>Table1[[#This Row],[Recovered]]/Table1[[#This Row],[Confirmed]]</f>
        <v>0.89624967369550712</v>
      </c>
      <c r="K164" s="22">
        <f>Table1[[#This Row],[Confirmed]]/Table1[[#This Row],[Population]]</f>
        <v>3.9807402234765879E-3</v>
      </c>
      <c r="L164" s="24" t="str">
        <f>IF(Table1[[#This Row],[Death_Rate]]&gt; 5%,"High_Risk",IF(Table1[[#This Row],[Death_Rate]] &gt;= 2%,"Moderate_Risk","Low_Risk"))</f>
        <v>High_Risk</v>
      </c>
    </row>
    <row r="165" spans="1:12" ht="18" customHeight="1" x14ac:dyDescent="0.25">
      <c r="A165" s="12" t="s">
        <v>167</v>
      </c>
      <c r="B165" s="5">
        <v>674</v>
      </c>
      <c r="C165" s="5">
        <v>40</v>
      </c>
      <c r="D165" s="5">
        <v>0</v>
      </c>
      <c r="E165" s="5">
        <v>634</v>
      </c>
      <c r="F165" s="5">
        <v>17539600</v>
      </c>
      <c r="G165" s="7" t="s">
        <v>195</v>
      </c>
      <c r="H165" s="14">
        <v>43912</v>
      </c>
      <c r="I165" s="22">
        <f>Table1[[#This Row],[Deaths]]/Table1[[#This Row],[Confirmed]]</f>
        <v>5.9347181008902079E-2</v>
      </c>
      <c r="J165" s="23">
        <f>Table1[[#This Row],[Recovered]]/Table1[[#This Row],[Confirmed]]</f>
        <v>0</v>
      </c>
      <c r="K165" s="22">
        <f>Table1[[#This Row],[Confirmed]]/Table1[[#This Row],[Population]]</f>
        <v>3.8427330155761816E-5</v>
      </c>
      <c r="L165" s="24" t="str">
        <f>IF(Table1[[#This Row],[Death_Rate]]&gt; 5%,"High_Risk",IF(Table1[[#This Row],[Death_Rate]] &gt;= 2%,"Moderate_Risk","Low_Risk"))</f>
        <v>High_Risk</v>
      </c>
    </row>
    <row r="166" spans="1:12" ht="18" customHeight="1" x14ac:dyDescent="0.25">
      <c r="A166" s="11" t="s">
        <v>190</v>
      </c>
      <c r="B166" s="4">
        <v>462</v>
      </c>
      <c r="C166" s="4">
        <v>7</v>
      </c>
      <c r="D166" s="4">
        <v>440</v>
      </c>
      <c r="E166" s="4">
        <v>15</v>
      </c>
      <c r="F166" s="4">
        <v>23821199</v>
      </c>
      <c r="G166" s="6" t="s">
        <v>195</v>
      </c>
      <c r="H166" s="13">
        <v>43851</v>
      </c>
      <c r="I166" s="22">
        <f>Table1[[#This Row],[Deaths]]/Table1[[#This Row],[Confirmed]]</f>
        <v>1.5151515151515152E-2</v>
      </c>
      <c r="J166" s="23">
        <f>Table1[[#This Row],[Recovered]]/Table1[[#This Row],[Confirmed]]</f>
        <v>0.95238095238095233</v>
      </c>
      <c r="K166" s="22">
        <f>Table1[[#This Row],[Confirmed]]/Table1[[#This Row],[Population]]</f>
        <v>1.9394489756791838E-5</v>
      </c>
      <c r="L166" s="24" t="str">
        <f>IF(Table1[[#This Row],[Death_Rate]]&gt; 5%,"High_Risk",IF(Table1[[#This Row],[Death_Rate]] &gt;= 2%,"Moderate_Risk","Low_Risk"))</f>
        <v>Low_Risk</v>
      </c>
    </row>
    <row r="167" spans="1:12" ht="18" customHeight="1" x14ac:dyDescent="0.25">
      <c r="A167" s="12" t="s">
        <v>168</v>
      </c>
      <c r="B167" s="5">
        <v>7235</v>
      </c>
      <c r="C167" s="5">
        <v>60</v>
      </c>
      <c r="D167" s="5">
        <v>6028</v>
      </c>
      <c r="E167" s="5">
        <v>1147</v>
      </c>
      <c r="F167" s="5">
        <v>9557468</v>
      </c>
      <c r="G167" s="7" t="s">
        <v>195</v>
      </c>
      <c r="H167" s="14">
        <v>43951</v>
      </c>
      <c r="I167" s="22">
        <f>Table1[[#This Row],[Deaths]]/Table1[[#This Row],[Confirmed]]</f>
        <v>8.2930200414651004E-3</v>
      </c>
      <c r="J167" s="23">
        <f>Table1[[#This Row],[Recovered]]/Table1[[#This Row],[Confirmed]]</f>
        <v>0.83317208016586042</v>
      </c>
      <c r="K167" s="22">
        <f>Table1[[#This Row],[Confirmed]]/Table1[[#This Row],[Population]]</f>
        <v>7.569996572313922E-4</v>
      </c>
      <c r="L167" s="24" t="str">
        <f>IF(Table1[[#This Row],[Death_Rate]]&gt; 5%,"High_Risk",IF(Table1[[#This Row],[Death_Rate]] &gt;= 2%,"Moderate_Risk","Low_Risk"))</f>
        <v>Low_Risk</v>
      </c>
    </row>
    <row r="168" spans="1:12" ht="18" customHeight="1" x14ac:dyDescent="0.25">
      <c r="A168" s="11" t="s">
        <v>169</v>
      </c>
      <c r="B168" s="4">
        <v>509</v>
      </c>
      <c r="C168" s="4">
        <v>21</v>
      </c>
      <c r="D168" s="4">
        <v>183</v>
      </c>
      <c r="E168" s="4">
        <v>305</v>
      </c>
      <c r="F168" s="4">
        <v>59886383</v>
      </c>
      <c r="G168" s="6" t="s">
        <v>197</v>
      </c>
      <c r="H168" s="13">
        <v>43906</v>
      </c>
      <c r="I168" s="22">
        <f>Table1[[#This Row],[Deaths]]/Table1[[#This Row],[Confirmed]]</f>
        <v>4.1257367387033402E-2</v>
      </c>
      <c r="J168" s="23">
        <f>Table1[[#This Row],[Recovered]]/Table1[[#This Row],[Confirmed]]</f>
        <v>0.35952848722986247</v>
      </c>
      <c r="K168" s="22">
        <f>Table1[[#This Row],[Confirmed]]/Table1[[#This Row],[Population]]</f>
        <v>8.4994279918358071E-6</v>
      </c>
      <c r="L168" s="24" t="str">
        <f>IF(Table1[[#This Row],[Death_Rate]]&gt; 5%,"High_Risk",IF(Table1[[#This Row],[Death_Rate]] &gt;= 2%,"Moderate_Risk","Low_Risk"))</f>
        <v>Moderate_Risk</v>
      </c>
    </row>
    <row r="169" spans="1:12" ht="18" customHeight="1" x14ac:dyDescent="0.25">
      <c r="A169" s="12" t="s">
        <v>170</v>
      </c>
      <c r="B169" s="5">
        <v>3297</v>
      </c>
      <c r="C169" s="5">
        <v>58</v>
      </c>
      <c r="D169" s="5">
        <v>3111</v>
      </c>
      <c r="E169" s="5">
        <v>128</v>
      </c>
      <c r="F169" s="5">
        <v>69817894</v>
      </c>
      <c r="G169" s="7" t="s">
        <v>195</v>
      </c>
      <c r="H169" s="14">
        <v>43843</v>
      </c>
      <c r="I169" s="22">
        <f>Table1[[#This Row],[Deaths]]/Table1[[#This Row],[Confirmed]]</f>
        <v>1.7591750075826508E-2</v>
      </c>
      <c r="J169" s="23">
        <f>Table1[[#This Row],[Recovered]]/Table1[[#This Row],[Confirmed]]</f>
        <v>0.94358507734303909</v>
      </c>
      <c r="K169" s="22">
        <f>Table1[[#This Row],[Confirmed]]/Table1[[#This Row],[Population]]</f>
        <v>4.7222850921283877E-5</v>
      </c>
      <c r="L169" s="24" t="str">
        <f>IF(Table1[[#This Row],[Death_Rate]]&gt; 5%,"High_Risk",IF(Table1[[#This Row],[Death_Rate]] &gt;= 2%,"Moderate_Risk","Low_Risk"))</f>
        <v>Low_Risk</v>
      </c>
    </row>
    <row r="170" spans="1:12" ht="18" customHeight="1" x14ac:dyDescent="0.25">
      <c r="A170" s="11" t="s">
        <v>171</v>
      </c>
      <c r="B170" s="4">
        <v>24</v>
      </c>
      <c r="C170" s="4">
        <v>0</v>
      </c>
      <c r="D170" s="4">
        <v>0</v>
      </c>
      <c r="E170" s="4">
        <v>24</v>
      </c>
      <c r="F170" s="4">
        <v>1320812</v>
      </c>
      <c r="G170" s="6" t="s">
        <v>195</v>
      </c>
      <c r="H170" s="13">
        <v>43911</v>
      </c>
      <c r="I170" s="22">
        <f>Table1[[#This Row],[Deaths]]/Table1[[#This Row],[Confirmed]]</f>
        <v>0</v>
      </c>
      <c r="J170" s="23">
        <f>Table1[[#This Row],[Recovered]]/Table1[[#This Row],[Confirmed]]</f>
        <v>0</v>
      </c>
      <c r="K170" s="22">
        <f>Table1[[#This Row],[Confirmed]]/Table1[[#This Row],[Population]]</f>
        <v>1.8170640484792688E-5</v>
      </c>
      <c r="L170" s="24" t="str">
        <f>IF(Table1[[#This Row],[Death_Rate]]&gt; 5%,"High_Risk",IF(Table1[[#This Row],[Death_Rate]] &gt;= 2%,"Moderate_Risk","Low_Risk"))</f>
        <v>Low_Risk</v>
      </c>
    </row>
    <row r="171" spans="1:12" ht="18" customHeight="1" x14ac:dyDescent="0.25">
      <c r="A171" s="12" t="s">
        <v>172</v>
      </c>
      <c r="B171" s="5">
        <v>874</v>
      </c>
      <c r="C171" s="5">
        <v>18</v>
      </c>
      <c r="D171" s="5">
        <v>607</v>
      </c>
      <c r="E171" s="5">
        <v>249</v>
      </c>
      <c r="F171" s="5">
        <v>8296582</v>
      </c>
      <c r="G171" s="7" t="s">
        <v>197</v>
      </c>
      <c r="H171" s="14">
        <v>43896</v>
      </c>
      <c r="I171" s="22">
        <f>Table1[[#This Row],[Deaths]]/Table1[[#This Row],[Confirmed]]</f>
        <v>2.0594965675057208E-2</v>
      </c>
      <c r="J171" s="23">
        <f>Table1[[#This Row],[Recovered]]/Table1[[#This Row],[Confirmed]]</f>
        <v>0.69450800915331812</v>
      </c>
      <c r="K171" s="22">
        <f>Table1[[#This Row],[Confirmed]]/Table1[[#This Row],[Population]]</f>
        <v>1.0534458648151732E-4</v>
      </c>
      <c r="L171" s="24" t="str">
        <f>IF(Table1[[#This Row],[Death_Rate]]&gt; 5%,"High_Risk",IF(Table1[[#This Row],[Death_Rate]] &gt;= 2%,"Moderate_Risk","Low_Risk"))</f>
        <v>Moderate_Risk</v>
      </c>
    </row>
    <row r="172" spans="1:12" ht="18" customHeight="1" x14ac:dyDescent="0.25">
      <c r="A172" s="11" t="s">
        <v>173</v>
      </c>
      <c r="B172" s="4">
        <v>148</v>
      </c>
      <c r="C172" s="4">
        <v>8</v>
      </c>
      <c r="D172" s="4">
        <v>128</v>
      </c>
      <c r="E172" s="4">
        <v>12</v>
      </c>
      <c r="F172" s="4">
        <v>1399950</v>
      </c>
      <c r="G172" s="6" t="s">
        <v>198</v>
      </c>
      <c r="H172" s="13">
        <v>43902</v>
      </c>
      <c r="I172" s="22">
        <f>Table1[[#This Row],[Deaths]]/Table1[[#This Row],[Confirmed]]</f>
        <v>5.4054054054054057E-2</v>
      </c>
      <c r="J172" s="23">
        <f>Table1[[#This Row],[Recovered]]/Table1[[#This Row],[Confirmed]]</f>
        <v>0.86486486486486491</v>
      </c>
      <c r="K172" s="22">
        <f>Table1[[#This Row],[Confirmed]]/Table1[[#This Row],[Population]]</f>
        <v>1.0571806135933426E-4</v>
      </c>
      <c r="L172" s="24" t="str">
        <f>IF(Table1[[#This Row],[Death_Rate]]&gt; 5%,"High_Risk",IF(Table1[[#This Row],[Death_Rate]] &gt;= 2%,"Moderate_Risk","Low_Risk"))</f>
        <v>High_Risk</v>
      </c>
    </row>
    <row r="173" spans="1:12" ht="18" customHeight="1" x14ac:dyDescent="0.25">
      <c r="A173" s="12" t="s">
        <v>174</v>
      </c>
      <c r="B173" s="5">
        <v>1455</v>
      </c>
      <c r="C173" s="5">
        <v>50</v>
      </c>
      <c r="D173" s="5">
        <v>1157</v>
      </c>
      <c r="E173" s="5">
        <v>248</v>
      </c>
      <c r="F173" s="5">
        <v>11830801</v>
      </c>
      <c r="G173" s="7" t="s">
        <v>197</v>
      </c>
      <c r="H173" s="14">
        <v>43892</v>
      </c>
      <c r="I173" s="22">
        <f>Table1[[#This Row],[Deaths]]/Table1[[#This Row],[Confirmed]]</f>
        <v>3.4364261168384883E-2</v>
      </c>
      <c r="J173" s="23">
        <f>Table1[[#This Row],[Recovered]]/Table1[[#This Row],[Confirmed]]</f>
        <v>0.79518900343642607</v>
      </c>
      <c r="K173" s="22">
        <f>Table1[[#This Row],[Confirmed]]/Table1[[#This Row],[Population]]</f>
        <v>1.2298406506879795E-4</v>
      </c>
      <c r="L173" s="24" t="str">
        <f>IF(Table1[[#This Row],[Death_Rate]]&gt; 5%,"High_Risk",IF(Table1[[#This Row],[Death_Rate]] &gt;= 2%,"Moderate_Risk","Low_Risk"))</f>
        <v>Moderate_Risk</v>
      </c>
    </row>
    <row r="174" spans="1:12" ht="18" customHeight="1" x14ac:dyDescent="0.25">
      <c r="A174" s="11" t="s">
        <v>175</v>
      </c>
      <c r="B174" s="4">
        <v>227019</v>
      </c>
      <c r="C174" s="4">
        <v>5630</v>
      </c>
      <c r="D174" s="4">
        <v>210469</v>
      </c>
      <c r="E174" s="4">
        <v>10920</v>
      </c>
      <c r="F174" s="4">
        <v>84428331</v>
      </c>
      <c r="G174" s="6" t="s">
        <v>195</v>
      </c>
      <c r="H174" s="13">
        <v>43901</v>
      </c>
      <c r="I174" s="22">
        <f>Table1[[#This Row],[Deaths]]/Table1[[#This Row],[Confirmed]]</f>
        <v>2.4799686369863315E-2</v>
      </c>
      <c r="J174" s="23">
        <f>Table1[[#This Row],[Recovered]]/Table1[[#This Row],[Confirmed]]</f>
        <v>0.92709861289143203</v>
      </c>
      <c r="K174" s="22">
        <f>Table1[[#This Row],[Confirmed]]/Table1[[#This Row],[Population]]</f>
        <v>2.6888959820844972E-3</v>
      </c>
      <c r="L174" s="24" t="str">
        <f>IF(Table1[[#This Row],[Death_Rate]]&gt; 5%,"High_Risk",IF(Table1[[#This Row],[Death_Rate]] &gt;= 2%,"Moderate_Risk","Low_Risk"))</f>
        <v>Moderate_Risk</v>
      </c>
    </row>
    <row r="175" spans="1:12" ht="18" customHeight="1" x14ac:dyDescent="0.25">
      <c r="A175" s="12" t="s">
        <v>176</v>
      </c>
      <c r="B175" s="5">
        <v>4290259</v>
      </c>
      <c r="C175" s="5">
        <v>148011</v>
      </c>
      <c r="D175" s="5">
        <v>1325804</v>
      </c>
      <c r="E175" s="5">
        <v>2816444</v>
      </c>
      <c r="F175" s="5">
        <v>331198130</v>
      </c>
      <c r="G175" s="7" t="s">
        <v>198</v>
      </c>
      <c r="H175" s="14">
        <v>43851</v>
      </c>
      <c r="I175" s="22">
        <f>Table1[[#This Row],[Deaths]]/Table1[[#This Row],[Confirmed]]</f>
        <v>3.4499315775574385E-2</v>
      </c>
      <c r="J175" s="23">
        <f>Table1[[#This Row],[Recovered]]/Table1[[#This Row],[Confirmed]]</f>
        <v>0.30902656459668287</v>
      </c>
      <c r="K175" s="22">
        <f>Table1[[#This Row],[Confirmed]]/Table1[[#This Row],[Population]]</f>
        <v>1.2953753694201112E-2</v>
      </c>
      <c r="L175" s="24" t="str">
        <f>IF(Table1[[#This Row],[Death_Rate]]&gt; 5%,"High_Risk",IF(Table1[[#This Row],[Death_Rate]] &gt;= 2%,"Moderate_Risk","Low_Risk"))</f>
        <v>Moderate_Risk</v>
      </c>
    </row>
    <row r="176" spans="1:12" ht="18" customHeight="1" x14ac:dyDescent="0.25">
      <c r="A176" s="11" t="s">
        <v>177</v>
      </c>
      <c r="B176" s="4">
        <v>1128</v>
      </c>
      <c r="C176" s="4">
        <v>2</v>
      </c>
      <c r="D176" s="4">
        <v>986</v>
      </c>
      <c r="E176" s="4">
        <v>140</v>
      </c>
      <c r="F176" s="4">
        <v>45867852</v>
      </c>
      <c r="G176" s="6" t="s">
        <v>197</v>
      </c>
      <c r="H176" s="13">
        <v>43912</v>
      </c>
      <c r="I176" s="22">
        <f>Table1[[#This Row],[Deaths]]/Table1[[#This Row],[Confirmed]]</f>
        <v>1.7730496453900709E-3</v>
      </c>
      <c r="J176" s="23">
        <f>Table1[[#This Row],[Recovered]]/Table1[[#This Row],[Confirmed]]</f>
        <v>0.87411347517730498</v>
      </c>
      <c r="K176" s="22">
        <f>Table1[[#This Row],[Confirmed]]/Table1[[#This Row],[Population]]</f>
        <v>2.4592387714166339E-5</v>
      </c>
      <c r="L176" s="24" t="str">
        <f>IF(Table1[[#This Row],[Death_Rate]]&gt; 5%,"High_Risk",IF(Table1[[#This Row],[Death_Rate]] &gt;= 2%,"Moderate_Risk","Low_Risk"))</f>
        <v>Low_Risk</v>
      </c>
    </row>
    <row r="177" spans="1:12" ht="18" customHeight="1" x14ac:dyDescent="0.25">
      <c r="A177" s="12" t="s">
        <v>178</v>
      </c>
      <c r="B177" s="5">
        <v>67096</v>
      </c>
      <c r="C177" s="5">
        <v>1636</v>
      </c>
      <c r="D177" s="5">
        <v>37202</v>
      </c>
      <c r="E177" s="5">
        <v>28258</v>
      </c>
      <c r="F177" s="5">
        <v>43705858</v>
      </c>
      <c r="G177" s="7" t="s">
        <v>196</v>
      </c>
      <c r="H177" s="14">
        <v>43893</v>
      </c>
      <c r="I177" s="22">
        <f>Table1[[#This Row],[Deaths]]/Table1[[#This Row],[Confirmed]]</f>
        <v>2.4382973649695959E-2</v>
      </c>
      <c r="J177" s="23">
        <f>Table1[[#This Row],[Recovered]]/Table1[[#This Row],[Confirmed]]</f>
        <v>0.55445928222248719</v>
      </c>
      <c r="K177" s="22">
        <f>Table1[[#This Row],[Confirmed]]/Table1[[#This Row],[Population]]</f>
        <v>1.5351717840661086E-3</v>
      </c>
      <c r="L177" s="24" t="str">
        <f>IF(Table1[[#This Row],[Death_Rate]]&gt; 5%,"High_Risk",IF(Table1[[#This Row],[Death_Rate]] &gt;= 2%,"Moderate_Risk","Low_Risk"))</f>
        <v>Moderate_Risk</v>
      </c>
    </row>
    <row r="178" spans="1:12" ht="18" customHeight="1" x14ac:dyDescent="0.25">
      <c r="A178" s="11" t="s">
        <v>179</v>
      </c>
      <c r="B178" s="4">
        <v>59177</v>
      </c>
      <c r="C178" s="4">
        <v>345</v>
      </c>
      <c r="D178" s="4">
        <v>52510</v>
      </c>
      <c r="E178" s="4">
        <v>6322</v>
      </c>
      <c r="F178" s="4">
        <v>9902079</v>
      </c>
      <c r="G178" s="6" t="s">
        <v>195</v>
      </c>
      <c r="H178" s="13">
        <v>43859</v>
      </c>
      <c r="I178" s="22">
        <f>Table1[[#This Row],[Deaths]]/Table1[[#This Row],[Confirmed]]</f>
        <v>5.8299677239468037E-3</v>
      </c>
      <c r="J178" s="23">
        <f>Table1[[#This Row],[Recovered]]/Table1[[#This Row],[Confirmed]]</f>
        <v>0.88733798604187442</v>
      </c>
      <c r="K178" s="22">
        <f>Table1[[#This Row],[Confirmed]]/Table1[[#This Row],[Population]]</f>
        <v>5.9762197413290681E-3</v>
      </c>
      <c r="L178" s="24" t="str">
        <f>IF(Table1[[#This Row],[Death_Rate]]&gt; 5%,"High_Risk",IF(Table1[[#This Row],[Death_Rate]] &gt;= 2%,"Moderate_Risk","Low_Risk"))</f>
        <v>Low_Risk</v>
      </c>
    </row>
    <row r="179" spans="1:12" ht="18" customHeight="1" x14ac:dyDescent="0.25">
      <c r="A179" s="12" t="s">
        <v>180</v>
      </c>
      <c r="B179" s="5">
        <v>301708</v>
      </c>
      <c r="C179" s="5">
        <v>45844</v>
      </c>
      <c r="D179" s="5">
        <v>1437</v>
      </c>
      <c r="E179" s="5">
        <v>254427</v>
      </c>
      <c r="F179" s="5">
        <v>67922029</v>
      </c>
      <c r="G179" s="7" t="s">
        <v>196</v>
      </c>
      <c r="H179" s="14">
        <v>43861</v>
      </c>
      <c r="I179" s="22">
        <f>Table1[[#This Row],[Deaths]]/Table1[[#This Row],[Confirmed]]</f>
        <v>0.15194824134593712</v>
      </c>
      <c r="J179" s="23">
        <f>Table1[[#This Row],[Recovered]]/Table1[[#This Row],[Confirmed]]</f>
        <v>4.7628833176448756E-3</v>
      </c>
      <c r="K179" s="22">
        <f>Table1[[#This Row],[Confirmed]]/Table1[[#This Row],[Population]]</f>
        <v>4.4419756659507328E-3</v>
      </c>
      <c r="L179" s="24" t="str">
        <f>IF(Table1[[#This Row],[Death_Rate]]&gt; 5%,"High_Risk",IF(Table1[[#This Row],[Death_Rate]] &gt;= 2%,"Moderate_Risk","Low_Risk"))</f>
        <v>High_Risk</v>
      </c>
    </row>
    <row r="180" spans="1:12" ht="18" customHeight="1" x14ac:dyDescent="0.25">
      <c r="A180" s="11" t="s">
        <v>181</v>
      </c>
      <c r="B180" s="4">
        <v>1202</v>
      </c>
      <c r="C180" s="4">
        <v>35</v>
      </c>
      <c r="D180" s="4">
        <v>951</v>
      </c>
      <c r="E180" s="4">
        <v>216</v>
      </c>
      <c r="F180" s="4">
        <v>3474956</v>
      </c>
      <c r="G180" s="6" t="s">
        <v>199</v>
      </c>
      <c r="H180" s="13">
        <v>43903</v>
      </c>
      <c r="I180" s="22">
        <f>Table1[[#This Row],[Deaths]]/Table1[[#This Row],[Confirmed]]</f>
        <v>2.9118136439267885E-2</v>
      </c>
      <c r="J180" s="23">
        <f>Table1[[#This Row],[Recovered]]/Table1[[#This Row],[Confirmed]]</f>
        <v>0.79118136439267883</v>
      </c>
      <c r="K180" s="22">
        <f>Table1[[#This Row],[Confirmed]]/Table1[[#This Row],[Population]]</f>
        <v>3.4590366036289381E-4</v>
      </c>
      <c r="L180" s="24" t="str">
        <f>IF(Table1[[#This Row],[Death_Rate]]&gt; 5%,"High_Risk",IF(Table1[[#This Row],[Death_Rate]] &gt;= 2%,"Moderate_Risk","Low_Risk"))</f>
        <v>Moderate_Risk</v>
      </c>
    </row>
    <row r="181" spans="1:12" ht="18" customHeight="1" x14ac:dyDescent="0.25">
      <c r="A181" s="12" t="s">
        <v>182</v>
      </c>
      <c r="B181" s="5">
        <v>21209</v>
      </c>
      <c r="C181" s="5">
        <v>121</v>
      </c>
      <c r="D181" s="5">
        <v>11674</v>
      </c>
      <c r="E181" s="5">
        <v>9414</v>
      </c>
      <c r="F181" s="5">
        <v>33516027</v>
      </c>
      <c r="G181" s="7" t="s">
        <v>195</v>
      </c>
      <c r="H181" s="14">
        <v>43905</v>
      </c>
      <c r="I181" s="22">
        <f>Table1[[#This Row],[Deaths]]/Table1[[#This Row],[Confirmed]]</f>
        <v>5.7051251827054551E-3</v>
      </c>
      <c r="J181" s="23">
        <f>Table1[[#This Row],[Recovered]]/Table1[[#This Row],[Confirmed]]</f>
        <v>0.55042670564383045</v>
      </c>
      <c r="K181" s="22">
        <f>Table1[[#This Row],[Confirmed]]/Table1[[#This Row],[Population]]</f>
        <v>6.3280173392866643E-4</v>
      </c>
      <c r="L181" s="24" t="str">
        <f>IF(Table1[[#This Row],[Death_Rate]]&gt; 5%,"High_Risk",IF(Table1[[#This Row],[Death_Rate]] &gt;= 2%,"Moderate_Risk","Low_Risk"))</f>
        <v>Low_Risk</v>
      </c>
    </row>
    <row r="182" spans="1:12" ht="18" customHeight="1" x14ac:dyDescent="0.25">
      <c r="A182" s="11" t="s">
        <v>183</v>
      </c>
      <c r="B182" s="4">
        <v>15988</v>
      </c>
      <c r="C182" s="4">
        <v>146</v>
      </c>
      <c r="D182" s="4">
        <v>9959</v>
      </c>
      <c r="E182" s="4">
        <v>5883</v>
      </c>
      <c r="F182" s="4">
        <v>28427499</v>
      </c>
      <c r="G182" s="6" t="s">
        <v>199</v>
      </c>
      <c r="H182" s="13">
        <v>43903</v>
      </c>
      <c r="I182" s="22">
        <f>Table1[[#This Row],[Deaths]]/Table1[[#This Row],[Confirmed]]</f>
        <v>9.1318488866649981E-3</v>
      </c>
      <c r="J182" s="23">
        <f>Table1[[#This Row],[Recovered]]/Table1[[#This Row],[Confirmed]]</f>
        <v>0.62290467850888165</v>
      </c>
      <c r="K182" s="22">
        <f>Table1[[#This Row],[Confirmed]]/Table1[[#This Row],[Population]]</f>
        <v>5.624131760588577E-4</v>
      </c>
      <c r="L182" s="24" t="str">
        <f>IF(Table1[[#This Row],[Death_Rate]]&gt; 5%,"High_Risk",IF(Table1[[#This Row],[Death_Rate]] &gt;= 2%,"Moderate_Risk","Low_Risk"))</f>
        <v>Low_Risk</v>
      </c>
    </row>
    <row r="183" spans="1:12" ht="18" customHeight="1" x14ac:dyDescent="0.25">
      <c r="A183" s="12" t="s">
        <v>184</v>
      </c>
      <c r="B183" s="5">
        <v>431</v>
      </c>
      <c r="C183" s="5">
        <v>0</v>
      </c>
      <c r="D183" s="5">
        <v>365</v>
      </c>
      <c r="E183" s="5">
        <v>66</v>
      </c>
      <c r="F183" s="5">
        <v>97425470</v>
      </c>
      <c r="G183" s="7" t="s">
        <v>195</v>
      </c>
      <c r="H183" s="14">
        <v>43853</v>
      </c>
      <c r="I183" s="22">
        <f>Table1[[#This Row],[Deaths]]/Table1[[#This Row],[Confirmed]]</f>
        <v>0</v>
      </c>
      <c r="J183" s="23">
        <f>Table1[[#This Row],[Recovered]]/Table1[[#This Row],[Confirmed]]</f>
        <v>0.84686774941995357</v>
      </c>
      <c r="K183" s="22">
        <f>Table1[[#This Row],[Confirmed]]/Table1[[#This Row],[Population]]</f>
        <v>4.4238944908348918E-6</v>
      </c>
      <c r="L183" s="24" t="str">
        <f>IF(Table1[[#This Row],[Death_Rate]]&gt; 5%,"High_Risk",IF(Table1[[#This Row],[Death_Rate]] &gt;= 2%,"Moderate_Risk","Low_Risk"))</f>
        <v>Low_Risk</v>
      </c>
    </row>
    <row r="184" spans="1:12" ht="18" customHeight="1" x14ac:dyDescent="0.25">
      <c r="A184" s="11" t="s">
        <v>185</v>
      </c>
      <c r="B184" s="4">
        <v>10621</v>
      </c>
      <c r="C184" s="4">
        <v>78</v>
      </c>
      <c r="D184" s="4">
        <v>3752</v>
      </c>
      <c r="E184" s="4">
        <v>6791</v>
      </c>
      <c r="F184" s="4">
        <v>4800000</v>
      </c>
      <c r="G184" s="6" t="s">
        <v>195</v>
      </c>
      <c r="H184" s="13">
        <v>43895</v>
      </c>
      <c r="I184" s="22">
        <f>Table1[[#This Row],[Deaths]]/Table1[[#This Row],[Confirmed]]</f>
        <v>7.3439412484700125E-3</v>
      </c>
      <c r="J184" s="23">
        <f>Table1[[#This Row],[Recovered]]/Table1[[#This Row],[Confirmed]]</f>
        <v>0.35326240466999342</v>
      </c>
      <c r="K184" s="22">
        <f>Table1[[#This Row],[Confirmed]]/Table1[[#This Row],[Population]]</f>
        <v>2.2127083333333335E-3</v>
      </c>
      <c r="L184" s="24" t="str">
        <f>IF(Table1[[#This Row],[Death_Rate]]&gt; 5%,"High_Risk",IF(Table1[[#This Row],[Death_Rate]] &gt;= 2%,"Moderate_Risk","Low_Risk"))</f>
        <v>Low_Risk</v>
      </c>
    </row>
    <row r="185" spans="1:12" ht="18" customHeight="1" x14ac:dyDescent="0.25">
      <c r="A185" s="12" t="s">
        <v>186</v>
      </c>
      <c r="B185" s="5">
        <v>10</v>
      </c>
      <c r="C185" s="5">
        <v>1</v>
      </c>
      <c r="D185" s="5">
        <v>8</v>
      </c>
      <c r="E185" s="5">
        <v>1</v>
      </c>
      <c r="F185" s="5">
        <v>598682</v>
      </c>
      <c r="G185" s="7" t="s">
        <v>197</v>
      </c>
      <c r="H185" s="14">
        <v>43925</v>
      </c>
      <c r="I185" s="22">
        <f>Table1[[#This Row],[Deaths]]/Table1[[#This Row],[Confirmed]]</f>
        <v>0.1</v>
      </c>
      <c r="J185" s="23">
        <f>Table1[[#This Row],[Recovered]]/Table1[[#This Row],[Confirmed]]</f>
        <v>0.8</v>
      </c>
      <c r="K185" s="22">
        <f>Table1[[#This Row],[Confirmed]]/Table1[[#This Row],[Population]]</f>
        <v>1.6703358377235327E-5</v>
      </c>
      <c r="L185" s="24" t="str">
        <f>IF(Table1[[#This Row],[Death_Rate]]&gt; 5%,"High_Risk",IF(Table1[[#This Row],[Death_Rate]] &gt;= 2%,"Moderate_Risk","Low_Risk"))</f>
        <v>High_Risk</v>
      </c>
    </row>
    <row r="186" spans="1:12" ht="18" customHeight="1" x14ac:dyDescent="0.25">
      <c r="A186" s="11" t="s">
        <v>187</v>
      </c>
      <c r="B186" s="4">
        <v>1691</v>
      </c>
      <c r="C186" s="4">
        <v>483</v>
      </c>
      <c r="D186" s="4">
        <v>833</v>
      </c>
      <c r="E186" s="4">
        <v>375</v>
      </c>
      <c r="F186" s="4">
        <v>29886897</v>
      </c>
      <c r="G186" s="6" t="s">
        <v>195</v>
      </c>
      <c r="H186" s="13">
        <v>43931</v>
      </c>
      <c r="I186" s="22">
        <f>Table1[[#This Row],[Deaths]]/Table1[[#This Row],[Confirmed]]</f>
        <v>0.28562980484920164</v>
      </c>
      <c r="J186" s="23">
        <f>Table1[[#This Row],[Recovered]]/Table1[[#This Row],[Confirmed]]</f>
        <v>0.49260792430514488</v>
      </c>
      <c r="K186" s="22">
        <f>Table1[[#This Row],[Confirmed]]/Table1[[#This Row],[Population]]</f>
        <v>5.6579978844909859E-5</v>
      </c>
      <c r="L186" s="24" t="str">
        <f>IF(Table1[[#This Row],[Death_Rate]]&gt; 5%,"High_Risk",IF(Table1[[#This Row],[Death_Rate]] &gt;= 2%,"Moderate_Risk","Low_Risk"))</f>
        <v>High_Risk</v>
      </c>
    </row>
    <row r="187" spans="1:12" ht="18" customHeight="1" x14ac:dyDescent="0.25">
      <c r="A187" s="12" t="s">
        <v>188</v>
      </c>
      <c r="B187" s="5">
        <v>4552</v>
      </c>
      <c r="C187" s="5">
        <v>140</v>
      </c>
      <c r="D187" s="5">
        <v>2815</v>
      </c>
      <c r="E187" s="5">
        <v>1597</v>
      </c>
      <c r="F187" s="5">
        <v>18430129</v>
      </c>
      <c r="G187" s="7" t="s">
        <v>197</v>
      </c>
      <c r="H187" s="14">
        <v>43908</v>
      </c>
      <c r="I187" s="22">
        <f>Table1[[#This Row],[Deaths]]/Table1[[#This Row],[Confirmed]]</f>
        <v>3.0755711775043937E-2</v>
      </c>
      <c r="J187" s="23">
        <f>Table1[[#This Row],[Recovered]]/Table1[[#This Row],[Confirmed]]</f>
        <v>0.61840949033391912</v>
      </c>
      <c r="K187" s="22">
        <f>Table1[[#This Row],[Confirmed]]/Table1[[#This Row],[Population]]</f>
        <v>2.4698687676033088E-4</v>
      </c>
      <c r="L187" s="24" t="str">
        <f>IF(Table1[[#This Row],[Death_Rate]]&gt; 5%,"High_Risk",IF(Table1[[#This Row],[Death_Rate]] &gt;= 2%,"Moderate_Risk","Low_Risk"))</f>
        <v>Moderate_Risk</v>
      </c>
    </row>
    <row r="188" spans="1:12" ht="18" customHeight="1" x14ac:dyDescent="0.25">
      <c r="A188" s="11" t="s">
        <v>189</v>
      </c>
      <c r="B188" s="4">
        <v>2704</v>
      </c>
      <c r="C188" s="4">
        <v>36</v>
      </c>
      <c r="D188" s="4">
        <v>542</v>
      </c>
      <c r="E188" s="4">
        <v>2126</v>
      </c>
      <c r="F188" s="4">
        <v>14883803</v>
      </c>
      <c r="G188" s="6" t="s">
        <v>197</v>
      </c>
      <c r="H188" s="13">
        <v>43911</v>
      </c>
      <c r="I188" s="22">
        <f>Table1[[#This Row],[Deaths]]/Table1[[#This Row],[Confirmed]]</f>
        <v>1.3313609467455622E-2</v>
      </c>
      <c r="J188" s="23">
        <f>Table1[[#This Row],[Recovered]]/Table1[[#This Row],[Confirmed]]</f>
        <v>0.20044378698224852</v>
      </c>
      <c r="K188" s="22">
        <f>Table1[[#This Row],[Confirmed]]/Table1[[#This Row],[Population]]</f>
        <v>1.8167399823821909E-4</v>
      </c>
      <c r="L188" s="24" t="str">
        <f>IF(Table1[[#This Row],[Death_Rate]]&gt; 5%,"High_Risk",IF(Table1[[#This Row],[Death_Rate]] &gt;= 2%,"Moderate_Risk","Low_Risk"))</f>
        <v>Low_Risk</v>
      </c>
    </row>
  </sheetData>
  <phoneticPr fontId="3" type="noConversion"/>
  <conditionalFormatting sqref="A2:A188">
    <cfRule type="expression" dxfId="6" priority="4">
      <formula>$I2 &gt; 5%</formula>
    </cfRule>
  </conditionalFormatting>
  <conditionalFormatting sqref="I2:I188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J2:J18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8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{36C1E43F-480F-4C95-A633-F758D4D20411}</x14:id>
        </ext>
      </extLst>
    </cfRule>
  </conditionalFormatting>
  <conditionalFormatting sqref="L2:L188">
    <cfRule type="containsText" dxfId="3" priority="3" operator="containsText" text="High_Risk">
      <formula>NOT(ISERROR(SEARCH("High_Risk",L2)))</formula>
    </cfRule>
    <cfRule type="containsText" dxfId="4" priority="2" operator="containsText" text="Moderate_Risk">
      <formula>NOT(ISERROR(SEARCH("Moderate_Risk",L2)))</formula>
    </cfRule>
    <cfRule type="containsText" dxfId="2" priority="1" operator="containsText" text="Low_Risk">
      <formula>NOT(ISERROR(SEARCH("Low_Risk",L2)))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C1E43F-480F-4C95-A633-F758D4D204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K2:K188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11C8-4558-409F-A3ED-9628CA1C030B}">
  <dimension ref="B3:T25"/>
  <sheetViews>
    <sheetView zoomScale="86" workbookViewId="0">
      <selection activeCell="L25" sqref="L25"/>
    </sheetView>
  </sheetViews>
  <sheetFormatPr defaultRowHeight="15" x14ac:dyDescent="0.25"/>
  <cols>
    <col min="2" max="2" width="17.42578125" bestFit="1" customWidth="1"/>
    <col min="3" max="3" width="11.85546875" bestFit="1" customWidth="1"/>
    <col min="4" max="4" width="14.140625" bestFit="1" customWidth="1"/>
    <col min="11" max="11" width="13.42578125" bestFit="1" customWidth="1"/>
    <col min="12" max="12" width="17.7109375" bestFit="1" customWidth="1"/>
    <col min="19" max="19" width="17.42578125" bestFit="1" customWidth="1"/>
    <col min="20" max="20" width="17.7109375" bestFit="1" customWidth="1"/>
  </cols>
  <sheetData>
    <row r="3" spans="2:20" x14ac:dyDescent="0.25">
      <c r="B3" s="25" t="s">
        <v>210</v>
      </c>
      <c r="C3" t="s">
        <v>213</v>
      </c>
      <c r="D3" t="s">
        <v>214</v>
      </c>
      <c r="K3" s="25" t="s">
        <v>210</v>
      </c>
      <c r="L3" t="s">
        <v>212</v>
      </c>
      <c r="S3" s="25" t="s">
        <v>210</v>
      </c>
      <c r="T3" t="s">
        <v>212</v>
      </c>
    </row>
    <row r="4" spans="2:20" x14ac:dyDescent="0.25">
      <c r="B4" s="26" t="s">
        <v>28</v>
      </c>
      <c r="C4" s="27">
        <v>2442375</v>
      </c>
      <c r="D4">
        <v>1846641</v>
      </c>
      <c r="K4" s="26" t="s">
        <v>215</v>
      </c>
      <c r="L4" s="27">
        <v>8097972</v>
      </c>
      <c r="S4" s="26" t="s">
        <v>197</v>
      </c>
      <c r="T4" s="27">
        <v>947320</v>
      </c>
    </row>
    <row r="5" spans="2:20" x14ac:dyDescent="0.25">
      <c r="B5" s="26" t="s">
        <v>39</v>
      </c>
      <c r="C5" s="27">
        <v>347923</v>
      </c>
      <c r="D5">
        <v>319954</v>
      </c>
      <c r="K5" s="26" t="s">
        <v>216</v>
      </c>
      <c r="L5" s="27">
        <v>4565502</v>
      </c>
      <c r="S5" s="26" t="s">
        <v>195</v>
      </c>
      <c r="T5" s="27">
        <v>3946274</v>
      </c>
    </row>
    <row r="6" spans="2:20" x14ac:dyDescent="0.25">
      <c r="B6" s="26" t="s">
        <v>83</v>
      </c>
      <c r="C6" s="27">
        <v>1480073</v>
      </c>
      <c r="D6">
        <v>951166</v>
      </c>
      <c r="K6" s="26" t="s">
        <v>217</v>
      </c>
      <c r="L6" s="27">
        <v>3493247</v>
      </c>
      <c r="S6" s="26" t="s">
        <v>200</v>
      </c>
      <c r="T6" s="27">
        <v>16949</v>
      </c>
    </row>
    <row r="7" spans="2:20" x14ac:dyDescent="0.25">
      <c r="B7" s="26" t="s">
        <v>85</v>
      </c>
      <c r="C7" s="27">
        <v>293606</v>
      </c>
      <c r="D7">
        <v>255144</v>
      </c>
      <c r="K7" s="26" t="s">
        <v>218</v>
      </c>
      <c r="L7" s="27">
        <v>16124</v>
      </c>
      <c r="S7" s="26" t="s">
        <v>196</v>
      </c>
      <c r="T7" s="27">
        <v>2792084</v>
      </c>
    </row>
    <row r="8" spans="2:20" x14ac:dyDescent="0.25">
      <c r="B8" s="26" t="s">
        <v>115</v>
      </c>
      <c r="C8" s="27">
        <v>395489</v>
      </c>
      <c r="D8">
        <v>303810</v>
      </c>
      <c r="K8" s="26" t="s">
        <v>219</v>
      </c>
      <c r="L8" s="27">
        <v>505</v>
      </c>
      <c r="S8" s="26" t="s">
        <v>198</v>
      </c>
      <c r="T8" s="27">
        <v>4997374</v>
      </c>
    </row>
    <row r="9" spans="2:20" x14ac:dyDescent="0.25">
      <c r="B9" s="26" t="s">
        <v>136</v>
      </c>
      <c r="C9" s="27">
        <v>389717</v>
      </c>
      <c r="D9">
        <v>272547</v>
      </c>
      <c r="K9" s="26" t="s">
        <v>220</v>
      </c>
      <c r="L9" s="27">
        <v>86783</v>
      </c>
      <c r="S9" s="26" t="s">
        <v>199</v>
      </c>
      <c r="T9" s="27">
        <v>3780484</v>
      </c>
    </row>
    <row r="10" spans="2:20" x14ac:dyDescent="0.25">
      <c r="B10" s="26" t="s">
        <v>142</v>
      </c>
      <c r="C10" s="27">
        <v>816680</v>
      </c>
      <c r="D10">
        <v>602249</v>
      </c>
      <c r="K10" s="26" t="s">
        <v>221</v>
      </c>
      <c r="L10" s="27">
        <v>220352</v>
      </c>
      <c r="S10" s="26" t="s">
        <v>211</v>
      </c>
      <c r="T10" s="27">
        <v>16480485</v>
      </c>
    </row>
    <row r="11" spans="2:20" x14ac:dyDescent="0.25">
      <c r="B11" s="26" t="s">
        <v>158</v>
      </c>
      <c r="C11" s="27">
        <v>452529</v>
      </c>
      <c r="D11">
        <v>274925</v>
      </c>
      <c r="K11" s="26" t="s">
        <v>211</v>
      </c>
      <c r="L11" s="27">
        <v>16480485</v>
      </c>
    </row>
    <row r="12" spans="2:20" x14ac:dyDescent="0.25">
      <c r="B12" s="26" t="s">
        <v>180</v>
      </c>
      <c r="C12" s="27">
        <v>301708</v>
      </c>
      <c r="D12">
        <v>1437</v>
      </c>
    </row>
    <row r="13" spans="2:20" x14ac:dyDescent="0.25">
      <c r="B13" s="26" t="s">
        <v>176</v>
      </c>
      <c r="C13" s="27">
        <v>4290259</v>
      </c>
      <c r="D13">
        <v>1325804</v>
      </c>
    </row>
    <row r="14" spans="2:20" x14ac:dyDescent="0.25">
      <c r="B14" s="26" t="s">
        <v>211</v>
      </c>
      <c r="C14" s="27">
        <v>11210359</v>
      </c>
      <c r="D14">
        <v>6153677</v>
      </c>
    </row>
    <row r="18" spans="2:4" x14ac:dyDescent="0.25">
      <c r="B18" s="25" t="s">
        <v>210</v>
      </c>
      <c r="C18" t="s">
        <v>223</v>
      </c>
      <c r="D18" t="s">
        <v>222</v>
      </c>
    </row>
    <row r="19" spans="2:4" x14ac:dyDescent="0.25">
      <c r="B19" s="26" t="s">
        <v>197</v>
      </c>
      <c r="C19" s="19">
        <v>2.4757153101587073E-2</v>
      </c>
      <c r="D19" s="27">
        <v>947320</v>
      </c>
    </row>
    <row r="20" spans="2:4" x14ac:dyDescent="0.25">
      <c r="B20" s="26" t="s">
        <v>195</v>
      </c>
      <c r="C20" s="19">
        <v>2.1147354827394303E-2</v>
      </c>
      <c r="D20" s="27">
        <v>3946274</v>
      </c>
    </row>
    <row r="21" spans="2:4" x14ac:dyDescent="0.25">
      <c r="B21" s="26" t="s">
        <v>200</v>
      </c>
      <c r="C21" s="19">
        <v>6.2606573924767223E-3</v>
      </c>
      <c r="D21" s="27">
        <v>16949</v>
      </c>
    </row>
    <row r="22" spans="2:4" x14ac:dyDescent="0.25">
      <c r="B22" s="26" t="s">
        <v>196</v>
      </c>
      <c r="C22" s="19">
        <v>4.8755796221625444E-2</v>
      </c>
      <c r="D22" s="27">
        <v>2792084</v>
      </c>
    </row>
    <row r="23" spans="2:4" x14ac:dyDescent="0.25">
      <c r="B23" s="26" t="s">
        <v>198</v>
      </c>
      <c r="C23" s="19">
        <v>2.8875818072139955E-2</v>
      </c>
      <c r="D23" s="27">
        <v>4997374</v>
      </c>
    </row>
    <row r="24" spans="2:4" x14ac:dyDescent="0.25">
      <c r="B24" s="26" t="s">
        <v>199</v>
      </c>
      <c r="C24" s="19">
        <v>3.1883264618668132E-2</v>
      </c>
      <c r="D24" s="27">
        <v>3780484</v>
      </c>
    </row>
    <row r="25" spans="2:4" x14ac:dyDescent="0.25">
      <c r="B25" s="26" t="s">
        <v>211</v>
      </c>
      <c r="C25" s="19">
        <v>3.0193169525148108E-2</v>
      </c>
      <c r="D25" s="27">
        <v>16480485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E9C0-C628-4BA3-B520-E73D6E815780}">
  <dimension ref="G2:R4"/>
  <sheetViews>
    <sheetView showGridLines="0" showRowColHeaders="0" tabSelected="1" workbookViewId="0">
      <selection activeCell="M33" sqref="M33"/>
    </sheetView>
  </sheetViews>
  <sheetFormatPr defaultRowHeight="15" x14ac:dyDescent="0.25"/>
  <cols>
    <col min="1" max="16384" width="9.140625" style="28"/>
  </cols>
  <sheetData>
    <row r="2" spans="7:18" x14ac:dyDescent="0.25">
      <c r="G2" s="32" t="s">
        <v>224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7:18" ht="25.5" customHeight="1" x14ac:dyDescent="0.25"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7:18" x14ac:dyDescent="0.25"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</sheetData>
  <mergeCells count="1">
    <mergeCell ref="G2:R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</vt:lpstr>
      <vt:lpstr>data</vt:lpstr>
      <vt:lpstr>Pivot_table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Mohit Singh</cp:lastModifiedBy>
  <dcterms:created xsi:type="dcterms:W3CDTF">2025-07-17T13:38:16Z</dcterms:created>
  <dcterms:modified xsi:type="dcterms:W3CDTF">2025-12-29T05:12:37Z</dcterms:modified>
</cp:coreProperties>
</file>